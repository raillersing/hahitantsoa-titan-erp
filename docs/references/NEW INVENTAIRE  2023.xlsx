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aillersing\projects\hahitantsoa-titan-erp\docs\references\"/>
    </mc:Choice>
  </mc:AlternateContent>
  <xr:revisionPtr revIDLastSave="0" documentId="8_{7DBFDF26-AE0B-44B5-980E-3C3813C070E3}" xr6:coauthVersionLast="36" xr6:coauthVersionMax="36" xr10:uidLastSave="{00000000-0000-0000-0000-000000000000}"/>
  <bookViews>
    <workbookView xWindow="0" yWindow="0" windowWidth="38400" windowHeight="17625" xr2:uid="{C34F65D4-A887-4FBC-B4F2-BA3B06AF6D4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5" i="1" l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G125" i="1"/>
  <c r="H124" i="1"/>
  <c r="G124" i="1"/>
  <c r="G123" i="1"/>
  <c r="G122" i="1"/>
  <c r="G121" i="1"/>
  <c r="G120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G110" i="1"/>
  <c r="H109" i="1"/>
  <c r="G109" i="1"/>
  <c r="G108" i="1"/>
  <c r="G107" i="1"/>
  <c r="G106" i="1"/>
  <c r="G105" i="1"/>
  <c r="H104" i="1"/>
  <c r="G104" i="1"/>
  <c r="H103" i="1"/>
  <c r="G103" i="1"/>
  <c r="H102" i="1"/>
  <c r="G102" i="1"/>
  <c r="H101" i="1"/>
  <c r="G101" i="1"/>
  <c r="G100" i="1"/>
  <c r="G99" i="1"/>
  <c r="H98" i="1"/>
  <c r="G98" i="1"/>
  <c r="H97" i="1"/>
  <c r="G97" i="1"/>
  <c r="H96" i="1"/>
  <c r="G96" i="1"/>
  <c r="H95" i="1"/>
  <c r="G95" i="1"/>
  <c r="G94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G70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G61" i="1"/>
  <c r="G60" i="1"/>
  <c r="G59" i="1"/>
  <c r="G58" i="1"/>
  <c r="G57" i="1"/>
  <c r="H56" i="1"/>
  <c r="G56" i="1"/>
  <c r="H55" i="1"/>
  <c r="G55" i="1"/>
  <c r="H54" i="1"/>
  <c r="G54" i="1"/>
  <c r="H53" i="1"/>
  <c r="G53" i="1"/>
  <c r="G52" i="1"/>
  <c r="G51" i="1"/>
  <c r="G50" i="1"/>
  <c r="H49" i="1"/>
  <c r="G49" i="1"/>
  <c r="H48" i="1"/>
  <c r="G48" i="1"/>
  <c r="H47" i="1"/>
  <c r="G47" i="1"/>
  <c r="G46" i="1"/>
  <c r="G45" i="1"/>
  <c r="G44" i="1"/>
  <c r="G43" i="1"/>
  <c r="G42" i="1"/>
  <c r="H41" i="1"/>
  <c r="G41" i="1"/>
  <c r="H40" i="1"/>
  <c r="G40" i="1"/>
  <c r="H39" i="1"/>
  <c r="G39" i="1"/>
  <c r="H38" i="1"/>
  <c r="G38" i="1"/>
  <c r="G37" i="1"/>
  <c r="G36" i="1"/>
  <c r="G35" i="1"/>
  <c r="H34" i="1"/>
  <c r="G34" i="1"/>
  <c r="H33" i="1"/>
  <c r="G33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H15" i="1"/>
  <c r="G15" i="1"/>
  <c r="H14" i="1"/>
  <c r="G14" i="1"/>
  <c r="H13" i="1"/>
  <c r="G13" i="1"/>
  <c r="H12" i="1"/>
  <c r="G12" i="1"/>
  <c r="H11" i="1"/>
  <c r="G11" i="1"/>
  <c r="G10" i="1"/>
  <c r="H9" i="1"/>
  <c r="G9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<sst xmlns="http://schemas.openxmlformats.org/spreadsheetml/2006/main" count="620" uniqueCount="193">
  <si>
    <t>Code</t>
  </si>
  <si>
    <t>Section</t>
  </si>
  <si>
    <t>Unité</t>
  </si>
  <si>
    <t>STOCK INVENTAIRE AVRIL</t>
  </si>
  <si>
    <t>CASSES</t>
  </si>
  <si>
    <t>Prix d'achat
[Ar]</t>
  </si>
  <si>
    <t>Prix de location</t>
  </si>
  <si>
    <t>Prix de casse</t>
  </si>
  <si>
    <t>N/A</t>
  </si>
  <si>
    <t>Vaisselle</t>
  </si>
  <si>
    <t>u</t>
  </si>
  <si>
    <t>Matériels de service</t>
  </si>
  <si>
    <t>CPD</t>
  </si>
  <si>
    <t>100 00,00</t>
  </si>
  <si>
    <t>Chaise</t>
  </si>
  <si>
    <t>Verre</t>
  </si>
  <si>
    <t>paire</t>
  </si>
  <si>
    <t>CPG</t>
  </si>
  <si>
    <t>CPP</t>
  </si>
  <si>
    <t>Couverts</t>
  </si>
  <si>
    <t>Effets spéciaux</t>
  </si>
  <si>
    <t>DBC</t>
  </si>
  <si>
    <t>DBJ</t>
  </si>
  <si>
    <t>sac</t>
  </si>
  <si>
    <t>Lumière</t>
  </si>
  <si>
    <t>LP</t>
  </si>
  <si>
    <t>-</t>
  </si>
  <si>
    <t>PE</t>
  </si>
  <si>
    <t>PP</t>
  </si>
  <si>
    <t>PR</t>
  </si>
  <si>
    <t xml:space="preserve"> </t>
  </si>
  <si>
    <t>PA</t>
  </si>
  <si>
    <t>PD</t>
  </si>
  <si>
    <t>PM</t>
  </si>
  <si>
    <t>PRG</t>
  </si>
  <si>
    <t>PVB</t>
  </si>
  <si>
    <t>PVT</t>
  </si>
  <si>
    <t>Table</t>
  </si>
  <si>
    <t>VAW</t>
  </si>
  <si>
    <t>Désignation</t>
  </si>
  <si>
    <t>Emplacement</t>
  </si>
  <si>
    <t>Assiette carrée GM</t>
  </si>
  <si>
    <t>Dépôt A</t>
  </si>
  <si>
    <t>Assiette carrée PM</t>
  </si>
  <si>
    <t>Assiette lotus creuse</t>
  </si>
  <si>
    <t>Assiette lotus GM</t>
  </si>
  <si>
    <t>Assiette lotus PM</t>
  </si>
  <si>
    <t>Assiettes carrée creuses</t>
  </si>
  <si>
    <t>Bac à chauffe plat</t>
  </si>
  <si>
    <t>Bac chauffe plat double GM</t>
  </si>
  <si>
    <t>Bac chauffe plat simple GM</t>
  </si>
  <si>
    <t>Canapé Blanc</t>
  </si>
  <si>
    <t>Dépôt B</t>
  </si>
  <si>
    <t>Carafe</t>
  </si>
  <si>
    <t>Chaise argentée</t>
  </si>
  <si>
    <t>Chaise dorée</t>
  </si>
  <si>
    <t>Chaise transparente</t>
  </si>
  <si>
    <t>Chaises Mariés Blanches</t>
  </si>
  <si>
    <t>Chaises Mariés Bleus</t>
  </si>
  <si>
    <t>Chaises Mariés Rouges</t>
  </si>
  <si>
    <t>Chauffe plat GM</t>
  </si>
  <si>
    <t>Chauffe plat PM</t>
  </si>
  <si>
    <t>Coupe à Glace</t>
  </si>
  <si>
    <t>Coussin Beige</t>
  </si>
  <si>
    <t xml:space="preserve">Dépôt </t>
  </si>
  <si>
    <t>Coussin blanc</t>
  </si>
  <si>
    <t>Coussin Bleu</t>
  </si>
  <si>
    <t>Couteau argenté</t>
  </si>
  <si>
    <t>Couteau doré</t>
  </si>
  <si>
    <t>Couteau rose gold</t>
  </si>
  <si>
    <t>Cuillère argentée</t>
  </si>
  <si>
    <t>Cuillère de service</t>
  </si>
  <si>
    <t>Cuillère dorée</t>
  </si>
  <si>
    <t>Cuillère rose gold</t>
  </si>
  <si>
    <t>Declancheur pyro</t>
  </si>
  <si>
    <t>Distributeur de boisson chaude</t>
  </si>
  <si>
    <t>Distributeur de jus</t>
  </si>
  <si>
    <t>Fixation structure</t>
  </si>
  <si>
    <t>Dépôt C</t>
  </si>
  <si>
    <t>Flocons blanc chaud 50m</t>
  </si>
  <si>
    <t>Flocons blanc froid 50m</t>
  </si>
  <si>
    <t>Flute</t>
  </si>
  <si>
    <t>Fourchette argentée</t>
  </si>
  <si>
    <t>Fourchette dorée</t>
  </si>
  <si>
    <t>Fourchette rose gold</t>
  </si>
  <si>
    <t xml:space="preserve">Guinguette ampoule LED </t>
  </si>
  <si>
    <t>Guinguette fil à douille 05m</t>
  </si>
  <si>
    <t>Guinguette fil à douille 10m</t>
  </si>
  <si>
    <t>Guinguiette rallonge 10m</t>
  </si>
  <si>
    <t>Guinguiette rallonge 3m</t>
  </si>
  <si>
    <t>Induction</t>
  </si>
  <si>
    <t>Led pour présentoir avec chargeur</t>
  </si>
  <si>
    <t>Louche GM</t>
  </si>
  <si>
    <t>Louche PM</t>
  </si>
  <si>
    <t>Marmite cocotte 45</t>
  </si>
  <si>
    <t>Marmite cocotte 60</t>
  </si>
  <si>
    <t>Pelle Gâteau</t>
  </si>
  <si>
    <t>Petite cuillère argentée</t>
  </si>
  <si>
    <t>Petite cuillère dorée</t>
  </si>
  <si>
    <t>Petite cuillère rose gold</t>
  </si>
  <si>
    <t>Pince A</t>
  </si>
  <si>
    <t>Pince B</t>
  </si>
  <si>
    <t>Pince C</t>
  </si>
  <si>
    <t>Pince D</t>
  </si>
  <si>
    <t>Pince E</t>
  </si>
  <si>
    <t>Piste de danse lumineuse</t>
  </si>
  <si>
    <t>Plat fleur</t>
  </si>
  <si>
    <t>Plat oval</t>
  </si>
  <si>
    <t>Plat rectangle GM</t>
  </si>
  <si>
    <t>Plat rectangle PM</t>
  </si>
  <si>
    <t>Plat rond GM</t>
  </si>
  <si>
    <t>Plat ROND PM</t>
  </si>
  <si>
    <t>Plateaux GM</t>
  </si>
  <si>
    <t>Plateaux PM</t>
  </si>
  <si>
    <t>Poteux de parking</t>
  </si>
  <si>
    <t>Dépôt 0,A</t>
  </si>
  <si>
    <t>Présentoir escalier</t>
  </si>
  <si>
    <t>Dépôt  A</t>
  </si>
  <si>
    <t>Présentoir pyramide</t>
  </si>
  <si>
    <t>Présentoir rond</t>
  </si>
  <si>
    <t>Présentoirs argentés GM</t>
  </si>
  <si>
    <t>Présentoirs argentés MM</t>
  </si>
  <si>
    <t>Présentoirs argentés PM</t>
  </si>
  <si>
    <t>Présentoirs dorés GM</t>
  </si>
  <si>
    <t>Présentoirs dorés MM</t>
  </si>
  <si>
    <t>Présentoirs dorés PM</t>
  </si>
  <si>
    <t xml:space="preserve">Dépôt A </t>
  </si>
  <si>
    <t>Présentoirs marbrés GM</t>
  </si>
  <si>
    <t>Présentoirs marbrés MM</t>
  </si>
  <si>
    <t>Présentoirs marbrés PM</t>
  </si>
  <si>
    <t>Présentoirs rose Gold GM</t>
  </si>
  <si>
    <t>Présentoirs rose Gold MM</t>
  </si>
  <si>
    <t>Présentoirs rose Gold PM</t>
  </si>
  <si>
    <t>Présentoirs transparents blancs  MM</t>
  </si>
  <si>
    <t>Présentoirs transparents blancs GM</t>
  </si>
  <si>
    <t>Présentoirs transparents blancs PM</t>
  </si>
  <si>
    <t>Présentoirs transparents GM</t>
  </si>
  <si>
    <t>Présentoirs transparents MM</t>
  </si>
  <si>
    <t>Présentoirs transparents PM</t>
  </si>
  <si>
    <t>Projecteur</t>
  </si>
  <si>
    <t>Raccord structure</t>
  </si>
  <si>
    <t>Ramequin carré</t>
  </si>
  <si>
    <t>Ramequin lotus</t>
  </si>
  <si>
    <t>Saladier carré</t>
  </si>
  <si>
    <t>Saladier rond</t>
  </si>
  <si>
    <t>Saucière carrée</t>
  </si>
  <si>
    <t>Saucière lotus</t>
  </si>
  <si>
    <t>Seau à champagne inox</t>
  </si>
  <si>
    <t>Seau à glace cristal</t>
  </si>
  <si>
    <t>Sous tasse carrée</t>
  </si>
  <si>
    <t>Sous tasse lotus</t>
  </si>
  <si>
    <t>Structure 1m</t>
  </si>
  <si>
    <t>Structure 2m</t>
  </si>
  <si>
    <t>Structure 50 cm</t>
  </si>
  <si>
    <t>Table DJ</t>
  </si>
  <si>
    <t>Table Haute</t>
  </si>
  <si>
    <t xml:space="preserve">Dépôt  </t>
  </si>
  <si>
    <t>Table mariés</t>
  </si>
  <si>
    <t>Table rectangle</t>
  </si>
  <si>
    <t>Table ronde</t>
  </si>
  <si>
    <t>Tasse carrée</t>
  </si>
  <si>
    <t>Tasse lotus</t>
  </si>
  <si>
    <t>Verre à eau</t>
  </si>
  <si>
    <t>Verre à jus</t>
  </si>
  <si>
    <t>Verre à vin</t>
  </si>
  <si>
    <t>Verre à wHisky</t>
  </si>
  <si>
    <t>Verre Cocktail A</t>
  </si>
  <si>
    <t>Verre Cocktail B</t>
  </si>
  <si>
    <t>Verre Cocktail C</t>
  </si>
  <si>
    <t>Verre Cocktail D</t>
  </si>
  <si>
    <t xml:space="preserve">Verre cocktail E          </t>
  </si>
  <si>
    <t>Verrine avec coin</t>
  </si>
  <si>
    <t>Verrine simple</t>
  </si>
  <si>
    <t>Vitre présentoir ardoise GM</t>
  </si>
  <si>
    <t>Vitre présentoir ardoise MM</t>
  </si>
  <si>
    <t>Vitre présentoir ardoise PM</t>
  </si>
  <si>
    <t>Vitre présentoir noire carrée GM</t>
  </si>
  <si>
    <t>Vitre présentoir noire carrée MM</t>
  </si>
  <si>
    <t>Vitre présentoir noire carrée PM</t>
  </si>
  <si>
    <t>Vitre présentoir noire octogone GM</t>
  </si>
  <si>
    <t>Vitre présentoir noire octogone MM</t>
  </si>
  <si>
    <t>Vitre présentoir noire octogone PM</t>
  </si>
  <si>
    <t>Vitre présentoir noire rectangle</t>
  </si>
  <si>
    <t>Vitre présentoir noire ronde GM</t>
  </si>
  <si>
    <t>Vitre présentoir noire ronde MM</t>
  </si>
  <si>
    <t>Vitre présentoir noire RONDE PM</t>
  </si>
  <si>
    <t>Vitre présentoir verre carrée GM</t>
  </si>
  <si>
    <t>Vitre présentoir verre carrée MM</t>
  </si>
  <si>
    <t>Vitre présentoir verre carrée PM</t>
  </si>
  <si>
    <t>Vitre présentoir verre opaque carrée</t>
  </si>
  <si>
    <t>Vitre présentoir verre ronde GM</t>
  </si>
  <si>
    <t>Vitre présentoir verre ronde MM</t>
  </si>
  <si>
    <t>Vitre présentoir verre ronde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</si>
</sst>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RGON\TITAN\20190625%20MATERIELS%20TITAN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TION HERY"/>
      <sheetName val="CONVENTION neny"/>
      <sheetName val="CONVENTION"/>
      <sheetName val="Décompte"/>
      <sheetName val="Douane par articles"/>
      <sheetName val="PU des matériels"/>
      <sheetName val="PU de location et casse"/>
      <sheetName val="CAS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L6">
            <v>8480</v>
          </cell>
        </row>
        <row r="7">
          <cell r="L7">
            <v>7420</v>
          </cell>
        </row>
        <row r="8">
          <cell r="L8">
            <v>7950</v>
          </cell>
        </row>
        <row r="9">
          <cell r="L9">
            <v>6360</v>
          </cell>
        </row>
        <row r="10">
          <cell r="L10">
            <v>14840</v>
          </cell>
        </row>
        <row r="13">
          <cell r="L13">
            <v>4770</v>
          </cell>
        </row>
        <row r="15">
          <cell r="L15">
            <v>2650</v>
          </cell>
        </row>
        <row r="19">
          <cell r="L19">
            <v>25440</v>
          </cell>
        </row>
        <row r="21">
          <cell r="L21">
            <v>10176</v>
          </cell>
        </row>
        <row r="22">
          <cell r="L22">
            <v>11554</v>
          </cell>
        </row>
        <row r="23">
          <cell r="L23">
            <v>14734</v>
          </cell>
        </row>
        <row r="24">
          <cell r="L24">
            <v>12190</v>
          </cell>
        </row>
        <row r="25">
          <cell r="L25">
            <v>24115</v>
          </cell>
        </row>
        <row r="26">
          <cell r="L26">
            <v>12190</v>
          </cell>
        </row>
        <row r="27">
          <cell r="L27">
            <v>5724</v>
          </cell>
        </row>
        <row r="28">
          <cell r="L28">
            <v>9275</v>
          </cell>
        </row>
        <row r="29">
          <cell r="L29">
            <v>1855</v>
          </cell>
        </row>
        <row r="30">
          <cell r="L30">
            <v>2650</v>
          </cell>
        </row>
        <row r="31">
          <cell r="L31">
            <v>6360</v>
          </cell>
        </row>
        <row r="33">
          <cell r="L33">
            <v>2226</v>
          </cell>
        </row>
        <row r="34">
          <cell r="L34">
            <v>9275</v>
          </cell>
        </row>
        <row r="35">
          <cell r="L35">
            <v>3975</v>
          </cell>
        </row>
        <row r="36">
          <cell r="L36">
            <v>11342</v>
          </cell>
        </row>
        <row r="37">
          <cell r="L37">
            <v>8904</v>
          </cell>
        </row>
        <row r="38">
          <cell r="L38">
            <v>12455</v>
          </cell>
        </row>
        <row r="40">
          <cell r="L40">
            <v>2544</v>
          </cell>
        </row>
        <row r="41">
          <cell r="L41">
            <v>4028</v>
          </cell>
        </row>
        <row r="42">
          <cell r="L42">
            <v>2756</v>
          </cell>
        </row>
        <row r="43">
          <cell r="L43">
            <v>8745</v>
          </cell>
        </row>
        <row r="44">
          <cell r="L44">
            <v>8745</v>
          </cell>
        </row>
        <row r="45">
          <cell r="L45">
            <v>8745</v>
          </cell>
        </row>
        <row r="46">
          <cell r="L46">
            <v>6625</v>
          </cell>
        </row>
        <row r="47">
          <cell r="L47">
            <v>6625</v>
          </cell>
        </row>
        <row r="48">
          <cell r="L48">
            <v>5724</v>
          </cell>
        </row>
        <row r="49">
          <cell r="L49">
            <v>5724</v>
          </cell>
        </row>
        <row r="50">
          <cell r="L50">
            <v>3498</v>
          </cell>
        </row>
        <row r="51">
          <cell r="L51">
            <v>4240</v>
          </cell>
        </row>
        <row r="52">
          <cell r="L52">
            <v>4240</v>
          </cell>
        </row>
        <row r="53">
          <cell r="L53">
            <v>4240</v>
          </cell>
        </row>
        <row r="54">
          <cell r="L54">
            <v>3498</v>
          </cell>
        </row>
        <row r="55">
          <cell r="L55">
            <v>4770</v>
          </cell>
        </row>
        <row r="57">
          <cell r="L57">
            <v>5300</v>
          </cell>
        </row>
        <row r="59">
          <cell r="L59">
            <v>6360</v>
          </cell>
        </row>
        <row r="61">
          <cell r="L61">
            <v>405450</v>
          </cell>
        </row>
        <row r="62">
          <cell r="L62">
            <v>132500</v>
          </cell>
        </row>
        <row r="64">
          <cell r="L64">
            <v>515690</v>
          </cell>
        </row>
        <row r="65">
          <cell r="L65">
            <v>147870</v>
          </cell>
        </row>
        <row r="66">
          <cell r="L66">
            <v>96460</v>
          </cell>
        </row>
        <row r="67">
          <cell r="L67">
            <v>16960</v>
          </cell>
        </row>
        <row r="72">
          <cell r="L72">
            <v>373650</v>
          </cell>
        </row>
        <row r="73">
          <cell r="L73">
            <v>288850</v>
          </cell>
        </row>
        <row r="74">
          <cell r="L74">
            <v>465870</v>
          </cell>
        </row>
        <row r="75">
          <cell r="L75">
            <v>215710</v>
          </cell>
        </row>
        <row r="76">
          <cell r="L76">
            <v>339200</v>
          </cell>
        </row>
        <row r="77">
          <cell r="L77">
            <v>184970</v>
          </cell>
        </row>
        <row r="80">
          <cell r="L80">
            <v>30210</v>
          </cell>
        </row>
        <row r="81">
          <cell r="L81">
            <v>62010</v>
          </cell>
        </row>
        <row r="82">
          <cell r="L82">
            <v>29150</v>
          </cell>
        </row>
        <row r="86">
          <cell r="L86">
            <v>61480</v>
          </cell>
        </row>
        <row r="87">
          <cell r="L87">
            <v>99640</v>
          </cell>
        </row>
        <row r="88">
          <cell r="L88">
            <v>149460</v>
          </cell>
        </row>
        <row r="89">
          <cell r="L89">
            <v>40280</v>
          </cell>
        </row>
        <row r="90">
          <cell r="L90">
            <v>47170</v>
          </cell>
        </row>
        <row r="91">
          <cell r="L91">
            <v>62540</v>
          </cell>
        </row>
        <row r="92">
          <cell r="L92">
            <v>177550</v>
          </cell>
        </row>
        <row r="93">
          <cell r="L93">
            <v>279840</v>
          </cell>
        </row>
        <row r="94">
          <cell r="L94">
            <v>379480</v>
          </cell>
        </row>
        <row r="95">
          <cell r="L95">
            <v>40280</v>
          </cell>
        </row>
        <row r="96">
          <cell r="L96">
            <v>47170</v>
          </cell>
        </row>
        <row r="97">
          <cell r="L97">
            <v>72610</v>
          </cell>
        </row>
        <row r="98">
          <cell r="L98">
            <v>201400</v>
          </cell>
        </row>
        <row r="102">
          <cell r="L102">
            <v>104410</v>
          </cell>
        </row>
        <row r="103">
          <cell r="L103">
            <v>120840</v>
          </cell>
        </row>
        <row r="104">
          <cell r="L104">
            <v>136740</v>
          </cell>
        </row>
        <row r="105">
          <cell r="L105">
            <v>120840</v>
          </cell>
        </row>
        <row r="106">
          <cell r="L106">
            <v>153170</v>
          </cell>
        </row>
        <row r="107">
          <cell r="L107">
            <v>187090</v>
          </cell>
        </row>
        <row r="108">
          <cell r="L108">
            <v>47170</v>
          </cell>
        </row>
        <row r="109">
          <cell r="L109">
            <v>62540</v>
          </cell>
        </row>
        <row r="110">
          <cell r="L110">
            <v>104940</v>
          </cell>
        </row>
        <row r="112">
          <cell r="L112">
            <v>28090</v>
          </cell>
        </row>
        <row r="113">
          <cell r="L113">
            <v>36040</v>
          </cell>
        </row>
        <row r="114">
          <cell r="L114">
            <v>81090</v>
          </cell>
        </row>
        <row r="115">
          <cell r="L115">
            <v>96460</v>
          </cell>
        </row>
        <row r="116">
          <cell r="L116">
            <v>161120</v>
          </cell>
        </row>
        <row r="117">
          <cell r="L117">
            <v>42400</v>
          </cell>
        </row>
        <row r="123">
          <cell r="L123">
            <v>84800</v>
          </cell>
        </row>
        <row r="124">
          <cell r="L124">
            <v>92750</v>
          </cell>
        </row>
        <row r="125">
          <cell r="L125">
            <v>87450</v>
          </cell>
        </row>
        <row r="126">
          <cell r="L126">
            <v>1484000</v>
          </cell>
        </row>
        <row r="127">
          <cell r="L127">
            <v>1272000</v>
          </cell>
        </row>
        <row r="128">
          <cell r="L128">
            <v>318000</v>
          </cell>
        </row>
        <row r="129">
          <cell r="L129">
            <v>265000</v>
          </cell>
        </row>
        <row r="130">
          <cell r="L130">
            <v>84800</v>
          </cell>
        </row>
        <row r="131">
          <cell r="L131">
            <v>249100</v>
          </cell>
        </row>
        <row r="132">
          <cell r="L132">
            <v>185500</v>
          </cell>
        </row>
        <row r="133">
          <cell r="L133">
            <v>7950</v>
          </cell>
        </row>
        <row r="137">
          <cell r="M137">
            <v>12720000</v>
          </cell>
        </row>
        <row r="139">
          <cell r="L139">
            <v>71550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0BFD-58A8-48BA-9A61-FC1C0E4B91FD}">
  <dimension ref="A1:J145"/>
  <sheetViews>
    <sheetView tabSelected="1" workbookViewId="0">
      <selection activeCell="A10" sqref="A10"/>
    </sheetView>
  </sheetViews>
  <sheetFormatPr defaultRowHeight="15" x14ac:dyDescent="0.25"/>
  <cols>
    <col min="1" max="1" width="50.140625" style="25" customWidth="1"/>
    <col min="2" max="2" width="21.85546875" style="25" customWidth="1"/>
    <col min="3" max="3" width="33.85546875" style="25" customWidth="1"/>
    <col min="4" max="4" width="35.28515625" style="25" customWidth="1"/>
    <col min="5" max="5" width="46.140625" style="29" customWidth="1"/>
    <col min="6" max="6" width="31" style="25" customWidth="1"/>
    <col min="7" max="7" width="31.5703125" style="25" customWidth="1"/>
    <col min="8" max="8" width="26.42578125" style="25" customWidth="1"/>
    <col min="9" max="9" width="28.7109375" style="30" customWidth="1"/>
    <col min="10" max="10" width="34.5703125" style="30" customWidth="1"/>
  </cols>
  <sheetData>
    <row r="1" spans="1:10" ht="31.5" x14ac:dyDescent="0.25">
      <c r="A1" s="1" t="s">
        <v>39</v>
      </c>
      <c r="B1" s="1" t="s">
        <v>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</row>
    <row r="2" spans="1:10" x14ac:dyDescent="0.25">
      <c r="A2" s="3" t="s">
        <v>41</v>
      </c>
      <c r="B2" s="3" t="s">
        <v>42</v>
      </c>
      <c r="C2" s="3" t="s">
        <v>8</v>
      </c>
      <c r="D2" s="3" t="s">
        <v>9</v>
      </c>
      <c r="E2" s="4" t="s">
        <v>10</v>
      </c>
      <c r="F2" s="3">
        <v>901</v>
      </c>
      <c r="G2" s="3">
        <f t="shared" ref="G2:G15" si="0">SUM(L2:ML2)</f>
        <v>0</v>
      </c>
      <c r="H2" s="5">
        <f>'[1]PU des matériels'!$L$36</f>
        <v>11342</v>
      </c>
      <c r="I2" s="5">
        <v>200</v>
      </c>
      <c r="J2" s="5">
        <v>18000</v>
      </c>
    </row>
    <row r="3" spans="1:10" x14ac:dyDescent="0.25">
      <c r="A3" s="3" t="s">
        <v>43</v>
      </c>
      <c r="B3" s="3" t="s">
        <v>42</v>
      </c>
      <c r="C3" s="3" t="s">
        <v>8</v>
      </c>
      <c r="D3" s="3" t="s">
        <v>9</v>
      </c>
      <c r="E3" s="4" t="s">
        <v>10</v>
      </c>
      <c r="F3" s="3">
        <v>379</v>
      </c>
      <c r="G3" s="3">
        <f t="shared" si="0"/>
        <v>0</v>
      </c>
      <c r="H3" s="5">
        <f>'[1]PU des matériels'!$L$27</f>
        <v>5724</v>
      </c>
      <c r="I3" s="5">
        <v>200</v>
      </c>
      <c r="J3" s="5">
        <v>15000</v>
      </c>
    </row>
    <row r="4" spans="1:10" x14ac:dyDescent="0.25">
      <c r="A4" s="3" t="s">
        <v>44</v>
      </c>
      <c r="B4" s="3" t="s">
        <v>42</v>
      </c>
      <c r="C4" s="3" t="s">
        <v>8</v>
      </c>
      <c r="D4" s="3" t="s">
        <v>9</v>
      </c>
      <c r="E4" s="4" t="s">
        <v>10</v>
      </c>
      <c r="F4" s="3">
        <v>337</v>
      </c>
      <c r="G4" s="3">
        <f t="shared" si="0"/>
        <v>0</v>
      </c>
      <c r="H4" s="5">
        <f>'[1]PU des matériels'!$L$31</f>
        <v>6360</v>
      </c>
      <c r="I4" s="5">
        <v>200</v>
      </c>
      <c r="J4" s="5">
        <v>18000</v>
      </c>
    </row>
    <row r="5" spans="1:10" x14ac:dyDescent="0.25">
      <c r="A5" s="3" t="s">
        <v>45</v>
      </c>
      <c r="B5" s="3" t="s">
        <v>42</v>
      </c>
      <c r="C5" s="3" t="s">
        <v>8</v>
      </c>
      <c r="D5" s="3" t="s">
        <v>9</v>
      </c>
      <c r="E5" s="6" t="s">
        <v>10</v>
      </c>
      <c r="F5" s="3">
        <v>896</v>
      </c>
      <c r="G5" s="3">
        <f t="shared" si="0"/>
        <v>0</v>
      </c>
      <c r="H5" s="5">
        <f>'[1]PU des matériels'!$L$28</f>
        <v>9275</v>
      </c>
      <c r="I5" s="5">
        <v>200</v>
      </c>
      <c r="J5" s="5">
        <v>18000</v>
      </c>
    </row>
    <row r="6" spans="1:10" x14ac:dyDescent="0.25">
      <c r="A6" s="3" t="s">
        <v>46</v>
      </c>
      <c r="B6" s="3" t="s">
        <v>42</v>
      </c>
      <c r="C6" s="3" t="s">
        <v>8</v>
      </c>
      <c r="D6" s="3" t="s">
        <v>9</v>
      </c>
      <c r="E6" s="4" t="s">
        <v>10</v>
      </c>
      <c r="F6" s="3">
        <v>361</v>
      </c>
      <c r="G6" s="3">
        <f t="shared" si="0"/>
        <v>0</v>
      </c>
      <c r="H6" s="5">
        <f>'[1]PU des matériels'!$L$35</f>
        <v>3975</v>
      </c>
      <c r="I6" s="5">
        <v>200</v>
      </c>
      <c r="J6" s="5">
        <v>15000</v>
      </c>
    </row>
    <row r="7" spans="1:10" x14ac:dyDescent="0.25">
      <c r="A7" s="3" t="s">
        <v>47</v>
      </c>
      <c r="B7" s="3" t="s">
        <v>42</v>
      </c>
      <c r="C7" s="3" t="s">
        <v>8</v>
      </c>
      <c r="D7" s="3" t="s">
        <v>9</v>
      </c>
      <c r="E7" s="4" t="s">
        <v>10</v>
      </c>
      <c r="F7" s="3">
        <v>279</v>
      </c>
      <c r="G7" s="3">
        <f t="shared" si="0"/>
        <v>0</v>
      </c>
      <c r="H7" s="5">
        <f>'[1]PU des matériels'!$L$37</f>
        <v>8904</v>
      </c>
      <c r="I7" s="5">
        <v>200</v>
      </c>
      <c r="J7" s="5">
        <v>18000</v>
      </c>
    </row>
    <row r="8" spans="1:10" x14ac:dyDescent="0.25">
      <c r="A8" s="3" t="s">
        <v>48</v>
      </c>
      <c r="B8" s="3" t="s">
        <v>42</v>
      </c>
      <c r="C8" s="3"/>
      <c r="D8" s="3" t="s">
        <v>11</v>
      </c>
      <c r="E8" s="4" t="s">
        <v>10</v>
      </c>
      <c r="F8" s="3">
        <v>8</v>
      </c>
      <c r="G8" s="3">
        <f t="shared" si="0"/>
        <v>0</v>
      </c>
      <c r="H8" s="5"/>
      <c r="I8" s="5"/>
      <c r="J8" s="5"/>
    </row>
    <row r="9" spans="1:10" x14ac:dyDescent="0.25">
      <c r="A9" s="7" t="s">
        <v>49</v>
      </c>
      <c r="B9" s="7" t="s">
        <v>42</v>
      </c>
      <c r="C9" s="7" t="s">
        <v>12</v>
      </c>
      <c r="D9" s="7" t="s">
        <v>11</v>
      </c>
      <c r="E9" s="8" t="s">
        <v>10</v>
      </c>
      <c r="F9" s="7">
        <v>4</v>
      </c>
      <c r="G9" s="3">
        <f t="shared" si="0"/>
        <v>0</v>
      </c>
      <c r="H9" s="9">
        <f>'[1]PU des matériels'!$L$67</f>
        <v>16960</v>
      </c>
      <c r="I9" s="9"/>
      <c r="J9" s="10" t="s">
        <v>13</v>
      </c>
    </row>
    <row r="10" spans="1:10" x14ac:dyDescent="0.25">
      <c r="A10" s="7" t="s">
        <v>50</v>
      </c>
      <c r="B10" s="7" t="s">
        <v>42</v>
      </c>
      <c r="C10" s="7"/>
      <c r="D10" s="7" t="s">
        <v>11</v>
      </c>
      <c r="E10" s="8" t="s">
        <v>10</v>
      </c>
      <c r="F10" s="7">
        <v>3</v>
      </c>
      <c r="G10" s="3">
        <f t="shared" si="0"/>
        <v>0</v>
      </c>
      <c r="H10" s="9"/>
      <c r="I10" s="9"/>
      <c r="J10" s="10"/>
    </row>
    <row r="11" spans="1:10" x14ac:dyDescent="0.25">
      <c r="A11" s="7" t="s">
        <v>51</v>
      </c>
      <c r="B11" s="7" t="s">
        <v>52</v>
      </c>
      <c r="C11" s="7" t="s">
        <v>8</v>
      </c>
      <c r="D11" s="7" t="s">
        <v>14</v>
      </c>
      <c r="E11" s="8" t="s">
        <v>10</v>
      </c>
      <c r="F11" s="7">
        <v>1</v>
      </c>
      <c r="G11" s="3">
        <f t="shared" si="0"/>
        <v>0</v>
      </c>
      <c r="H11" s="9">
        <f>'[1]PU des matériels'!$L$126</f>
        <v>1484000</v>
      </c>
      <c r="I11" s="9">
        <v>100000</v>
      </c>
      <c r="J11" s="9">
        <v>2000000</v>
      </c>
    </row>
    <row r="12" spans="1:10" x14ac:dyDescent="0.25">
      <c r="A12" s="11" t="s">
        <v>53</v>
      </c>
      <c r="B12" s="11" t="s">
        <v>42</v>
      </c>
      <c r="C12" s="11" t="s">
        <v>8</v>
      </c>
      <c r="D12" s="11" t="s">
        <v>15</v>
      </c>
      <c r="E12" s="12" t="s">
        <v>10</v>
      </c>
      <c r="F12" s="11">
        <v>26</v>
      </c>
      <c r="G12" s="3">
        <f t="shared" si="0"/>
        <v>0</v>
      </c>
      <c r="H12" s="13">
        <f>'[1]PU des matériels'!$L$19</f>
        <v>25440</v>
      </c>
      <c r="I12" s="13">
        <v>1000</v>
      </c>
      <c r="J12" s="13">
        <v>50000</v>
      </c>
    </row>
    <row r="13" spans="1:10" x14ac:dyDescent="0.25">
      <c r="A13" s="7" t="s">
        <v>54</v>
      </c>
      <c r="B13" s="7" t="s">
        <v>52</v>
      </c>
      <c r="C13" s="7" t="s">
        <v>8</v>
      </c>
      <c r="D13" s="7" t="s">
        <v>14</v>
      </c>
      <c r="E13" s="8" t="s">
        <v>10</v>
      </c>
      <c r="F13" s="7">
        <v>460</v>
      </c>
      <c r="G13" s="3">
        <f t="shared" si="0"/>
        <v>0</v>
      </c>
      <c r="H13" s="9">
        <f>'[1]PU des matériels'!$L$125</f>
        <v>87450</v>
      </c>
      <c r="I13" s="9">
        <v>4500</v>
      </c>
      <c r="J13" s="9">
        <v>300000</v>
      </c>
    </row>
    <row r="14" spans="1:10" x14ac:dyDescent="0.25">
      <c r="A14" s="11" t="s">
        <v>55</v>
      </c>
      <c r="B14" s="11" t="s">
        <v>42</v>
      </c>
      <c r="C14" s="11" t="s">
        <v>8</v>
      </c>
      <c r="D14" s="11" t="s">
        <v>14</v>
      </c>
      <c r="E14" s="12" t="s">
        <v>10</v>
      </c>
      <c r="F14" s="11">
        <v>500</v>
      </c>
      <c r="G14" s="3">
        <f t="shared" si="0"/>
        <v>0</v>
      </c>
      <c r="H14" s="13">
        <f>'[1]PU des matériels'!$L$124</f>
        <v>92750</v>
      </c>
      <c r="I14" s="13">
        <v>5000</v>
      </c>
      <c r="J14" s="13">
        <v>300000</v>
      </c>
    </row>
    <row r="15" spans="1:10" x14ac:dyDescent="0.25">
      <c r="A15" s="7" t="s">
        <v>56</v>
      </c>
      <c r="B15" s="7" t="s">
        <v>42</v>
      </c>
      <c r="C15" s="7" t="s">
        <v>8</v>
      </c>
      <c r="D15" s="7" t="s">
        <v>14</v>
      </c>
      <c r="E15" s="8" t="s">
        <v>10</v>
      </c>
      <c r="F15" s="7">
        <v>488</v>
      </c>
      <c r="G15" s="3">
        <f t="shared" si="0"/>
        <v>0</v>
      </c>
      <c r="H15" s="9">
        <f>'[1]PU des matériels'!$L$123</f>
        <v>84800</v>
      </c>
      <c r="I15" s="9">
        <v>5000</v>
      </c>
      <c r="J15" s="9">
        <v>300000</v>
      </c>
    </row>
    <row r="16" spans="1:10" x14ac:dyDescent="0.25">
      <c r="A16" s="7" t="s">
        <v>57</v>
      </c>
      <c r="B16" s="7" t="s">
        <v>52</v>
      </c>
      <c r="C16" s="7" t="s">
        <v>8</v>
      </c>
      <c r="D16" s="7" t="s">
        <v>14</v>
      </c>
      <c r="E16" s="8" t="s">
        <v>16</v>
      </c>
      <c r="F16" s="7">
        <v>1</v>
      </c>
      <c r="G16" s="3">
        <v>0</v>
      </c>
      <c r="H16" s="9">
        <f>'[1]PU des matériels'!$L$129</f>
        <v>265000</v>
      </c>
      <c r="I16" s="9">
        <v>80000</v>
      </c>
      <c r="J16" s="9">
        <v>500000</v>
      </c>
    </row>
    <row r="17" spans="1:10" x14ac:dyDescent="0.25">
      <c r="A17" s="7" t="s">
        <v>58</v>
      </c>
      <c r="B17" s="7" t="s">
        <v>52</v>
      </c>
      <c r="C17" s="7" t="s">
        <v>8</v>
      </c>
      <c r="D17" s="7" t="s">
        <v>14</v>
      </c>
      <c r="E17" s="8" t="s">
        <v>16</v>
      </c>
      <c r="F17" s="7">
        <v>1</v>
      </c>
      <c r="G17" s="3">
        <f t="shared" ref="G17:G48" si="1">SUM(L17:ML17)</f>
        <v>0</v>
      </c>
      <c r="H17" s="9">
        <f>+'[1]PU des matériels'!$L$128</f>
        <v>318000</v>
      </c>
      <c r="I17" s="9">
        <v>100000</v>
      </c>
      <c r="J17" s="9">
        <v>500000</v>
      </c>
    </row>
    <row r="18" spans="1:10" x14ac:dyDescent="0.25">
      <c r="A18" s="7" t="s">
        <v>59</v>
      </c>
      <c r="B18" s="7" t="s">
        <v>52</v>
      </c>
      <c r="C18" s="7" t="s">
        <v>8</v>
      </c>
      <c r="D18" s="7" t="s">
        <v>14</v>
      </c>
      <c r="E18" s="8" t="s">
        <v>16</v>
      </c>
      <c r="F18" s="7">
        <v>1</v>
      </c>
      <c r="G18" s="3">
        <f t="shared" si="1"/>
        <v>0</v>
      </c>
      <c r="H18" s="9">
        <f>+'[1]PU des matériels'!$L$127</f>
        <v>1272000</v>
      </c>
      <c r="I18" s="9">
        <v>100000</v>
      </c>
      <c r="J18" s="9">
        <v>700000</v>
      </c>
    </row>
    <row r="19" spans="1:10" x14ac:dyDescent="0.25">
      <c r="A19" s="7" t="s">
        <v>60</v>
      </c>
      <c r="B19" s="7" t="s">
        <v>42</v>
      </c>
      <c r="C19" s="7" t="s">
        <v>17</v>
      </c>
      <c r="D19" s="7" t="s">
        <v>11</v>
      </c>
      <c r="E19" s="8" t="s">
        <v>10</v>
      </c>
      <c r="F19" s="7">
        <v>4</v>
      </c>
      <c r="G19" s="3">
        <f t="shared" si="1"/>
        <v>0</v>
      </c>
      <c r="H19" s="9">
        <f>'[1]PU des matériels'!$L$64+'[1]PU des matériels'!$L$65</f>
        <v>663560</v>
      </c>
      <c r="I19" s="9">
        <v>25000</v>
      </c>
      <c r="J19" s="9">
        <v>800000</v>
      </c>
    </row>
    <row r="20" spans="1:10" x14ac:dyDescent="0.25">
      <c r="A20" s="7" t="s">
        <v>61</v>
      </c>
      <c r="B20" s="7" t="s">
        <v>42</v>
      </c>
      <c r="C20" s="7" t="s">
        <v>18</v>
      </c>
      <c r="D20" s="7" t="s">
        <v>11</v>
      </c>
      <c r="E20" s="8" t="s">
        <v>10</v>
      </c>
      <c r="F20" s="7">
        <v>8</v>
      </c>
      <c r="G20" s="3">
        <f t="shared" si="1"/>
        <v>0</v>
      </c>
      <c r="H20" s="9">
        <f>'[1]PU des matériels'!$L$61+'[1]PU des matériels'!$L$62</f>
        <v>537950</v>
      </c>
      <c r="I20" s="9">
        <v>15000</v>
      </c>
      <c r="J20" s="9">
        <v>700000</v>
      </c>
    </row>
    <row r="21" spans="1:10" x14ac:dyDescent="0.25">
      <c r="A21" s="14" t="s">
        <v>62</v>
      </c>
      <c r="B21" s="14" t="s">
        <v>42</v>
      </c>
      <c r="C21" s="14" t="s">
        <v>8</v>
      </c>
      <c r="D21" s="14" t="s">
        <v>15</v>
      </c>
      <c r="E21" s="15" t="s">
        <v>10</v>
      </c>
      <c r="F21" s="16">
        <v>522</v>
      </c>
      <c r="G21" s="14">
        <f t="shared" si="1"/>
        <v>0</v>
      </c>
      <c r="H21" s="17">
        <f>'[1]PU des matériels'!$L$13</f>
        <v>4770</v>
      </c>
      <c r="I21" s="17">
        <v>200</v>
      </c>
      <c r="J21" s="17">
        <v>15000</v>
      </c>
    </row>
    <row r="22" spans="1:10" x14ac:dyDescent="0.25">
      <c r="A22" s="11" t="s">
        <v>63</v>
      </c>
      <c r="B22" s="11" t="s">
        <v>64</v>
      </c>
      <c r="C22" s="11" t="s">
        <v>8</v>
      </c>
      <c r="D22" s="11" t="s">
        <v>14</v>
      </c>
      <c r="E22" s="12" t="s">
        <v>10</v>
      </c>
      <c r="F22" s="11"/>
      <c r="G22" s="3">
        <f t="shared" si="1"/>
        <v>0</v>
      </c>
      <c r="H22" s="13">
        <f>'[1]PU des matériels'!$L$133</f>
        <v>7950</v>
      </c>
      <c r="I22" s="13"/>
      <c r="J22" s="13">
        <v>50000</v>
      </c>
    </row>
    <row r="23" spans="1:10" x14ac:dyDescent="0.25">
      <c r="A23" s="7" t="s">
        <v>65</v>
      </c>
      <c r="B23" s="7" t="s">
        <v>64</v>
      </c>
      <c r="C23" s="7" t="s">
        <v>8</v>
      </c>
      <c r="D23" s="7" t="s">
        <v>14</v>
      </c>
      <c r="E23" s="8" t="s">
        <v>10</v>
      </c>
      <c r="F23" s="7"/>
      <c r="G23" s="7">
        <f t="shared" si="1"/>
        <v>0</v>
      </c>
      <c r="H23" s="9">
        <f>'[1]PU des matériels'!$L$133</f>
        <v>7950</v>
      </c>
      <c r="I23" s="9"/>
      <c r="J23" s="9">
        <v>50000</v>
      </c>
    </row>
    <row r="24" spans="1:10" x14ac:dyDescent="0.25">
      <c r="A24" s="11" t="s">
        <v>66</v>
      </c>
      <c r="B24" s="11" t="s">
        <v>64</v>
      </c>
      <c r="C24" s="11" t="s">
        <v>8</v>
      </c>
      <c r="D24" s="11" t="s">
        <v>14</v>
      </c>
      <c r="E24" s="12" t="s">
        <v>10</v>
      </c>
      <c r="F24" s="11"/>
      <c r="G24" s="3">
        <f t="shared" si="1"/>
        <v>0</v>
      </c>
      <c r="H24" s="13">
        <f>'[1]PU des matériels'!$L$133</f>
        <v>7950</v>
      </c>
      <c r="I24" s="13"/>
      <c r="J24" s="13">
        <v>50000</v>
      </c>
    </row>
    <row r="25" spans="1:10" x14ac:dyDescent="0.25">
      <c r="A25" s="16" t="s">
        <v>67</v>
      </c>
      <c r="B25" s="14" t="s">
        <v>42</v>
      </c>
      <c r="C25" s="14" t="s">
        <v>8</v>
      </c>
      <c r="D25" s="16" t="s">
        <v>19</v>
      </c>
      <c r="E25" s="18" t="s">
        <v>10</v>
      </c>
      <c r="F25" s="16">
        <v>490</v>
      </c>
      <c r="G25" s="14">
        <f t="shared" si="1"/>
        <v>0</v>
      </c>
      <c r="H25" s="19">
        <f>'[1]PU des matériels'!$L$47</f>
        <v>6625</v>
      </c>
      <c r="I25" s="19"/>
      <c r="J25" s="19">
        <v>15000</v>
      </c>
    </row>
    <row r="26" spans="1:10" x14ac:dyDescent="0.25">
      <c r="A26" s="16" t="s">
        <v>68</v>
      </c>
      <c r="B26" s="20" t="s">
        <v>42</v>
      </c>
      <c r="C26" s="20" t="s">
        <v>8</v>
      </c>
      <c r="D26" s="16" t="s">
        <v>19</v>
      </c>
      <c r="E26" s="18" t="s">
        <v>10</v>
      </c>
      <c r="F26" s="16">
        <v>532</v>
      </c>
      <c r="G26" s="14">
        <f t="shared" si="1"/>
        <v>0</v>
      </c>
      <c r="H26" s="19">
        <f>'[1]PU des matériels'!$L$43</f>
        <v>8745</v>
      </c>
      <c r="I26" s="19">
        <v>700</v>
      </c>
      <c r="J26" s="19">
        <v>25000</v>
      </c>
    </row>
    <row r="27" spans="1:10" x14ac:dyDescent="0.25">
      <c r="A27" s="16" t="s">
        <v>69</v>
      </c>
      <c r="B27" s="14" t="s">
        <v>42</v>
      </c>
      <c r="C27" s="14" t="s">
        <v>8</v>
      </c>
      <c r="D27" s="16" t="s">
        <v>19</v>
      </c>
      <c r="E27" s="18" t="s">
        <v>10</v>
      </c>
      <c r="F27" s="16">
        <v>478</v>
      </c>
      <c r="G27" s="14">
        <f t="shared" si="1"/>
        <v>0</v>
      </c>
      <c r="H27" s="19">
        <f>'[1]PU des matériels'!$L$51</f>
        <v>4240</v>
      </c>
      <c r="I27" s="19">
        <v>700</v>
      </c>
      <c r="J27" s="19">
        <v>25000</v>
      </c>
    </row>
    <row r="28" spans="1:10" x14ac:dyDescent="0.25">
      <c r="A28" s="16" t="s">
        <v>70</v>
      </c>
      <c r="B28" s="14" t="s">
        <v>42</v>
      </c>
      <c r="C28" s="14" t="s">
        <v>8</v>
      </c>
      <c r="D28" s="16" t="s">
        <v>19</v>
      </c>
      <c r="E28" s="21" t="s">
        <v>10</v>
      </c>
      <c r="F28" s="16">
        <v>471</v>
      </c>
      <c r="G28" s="14">
        <f t="shared" si="1"/>
        <v>0</v>
      </c>
      <c r="H28" s="19">
        <f>'[1]PU des matériels'!$L$49</f>
        <v>5724</v>
      </c>
      <c r="I28" s="19"/>
      <c r="J28" s="19">
        <v>15000</v>
      </c>
    </row>
    <row r="29" spans="1:10" x14ac:dyDescent="0.25">
      <c r="A29" s="14" t="s">
        <v>71</v>
      </c>
      <c r="B29" s="14" t="s">
        <v>42</v>
      </c>
      <c r="C29" s="14" t="s">
        <v>8</v>
      </c>
      <c r="D29" s="14" t="s">
        <v>11</v>
      </c>
      <c r="E29" s="15"/>
      <c r="F29" s="14">
        <v>98</v>
      </c>
      <c r="G29" s="14">
        <f t="shared" si="1"/>
        <v>0</v>
      </c>
      <c r="H29" s="17">
        <f>'[1]PU des matériels'!$L$57</f>
        <v>5300</v>
      </c>
      <c r="I29" s="17">
        <v>500</v>
      </c>
      <c r="J29" s="17">
        <v>11000</v>
      </c>
    </row>
    <row r="30" spans="1:10" x14ac:dyDescent="0.25">
      <c r="A30" s="16" t="s">
        <v>72</v>
      </c>
      <c r="B30" s="20" t="s">
        <v>42</v>
      </c>
      <c r="C30" s="20" t="s">
        <v>8</v>
      </c>
      <c r="D30" s="16" t="s">
        <v>19</v>
      </c>
      <c r="E30" s="18" t="s">
        <v>10</v>
      </c>
      <c r="F30" s="16">
        <v>498</v>
      </c>
      <c r="G30" s="14">
        <f t="shared" si="1"/>
        <v>0</v>
      </c>
      <c r="H30" s="19">
        <f>'[1]PU des matériels'!$L$44</f>
        <v>8745</v>
      </c>
      <c r="I30" s="19">
        <v>700</v>
      </c>
      <c r="J30" s="19">
        <v>25000</v>
      </c>
    </row>
    <row r="31" spans="1:10" x14ac:dyDescent="0.25">
      <c r="A31" s="16" t="s">
        <v>73</v>
      </c>
      <c r="B31" s="14" t="s">
        <v>42</v>
      </c>
      <c r="C31" s="14" t="s">
        <v>8</v>
      </c>
      <c r="D31" s="16" t="s">
        <v>19</v>
      </c>
      <c r="E31" s="18" t="s">
        <v>10</v>
      </c>
      <c r="F31" s="16">
        <v>538</v>
      </c>
      <c r="G31" s="14">
        <f t="shared" si="1"/>
        <v>0</v>
      </c>
      <c r="H31" s="19">
        <f>'[1]PU des matériels'!$L$53</f>
        <v>4240</v>
      </c>
      <c r="I31" s="19">
        <v>700</v>
      </c>
      <c r="J31" s="19">
        <v>25000</v>
      </c>
    </row>
    <row r="32" spans="1:10" x14ac:dyDescent="0.25">
      <c r="A32" s="16" t="s">
        <v>74</v>
      </c>
      <c r="B32" s="20" t="s">
        <v>42</v>
      </c>
      <c r="C32" s="20"/>
      <c r="D32" s="16" t="s">
        <v>20</v>
      </c>
      <c r="E32" s="18" t="s">
        <v>10</v>
      </c>
      <c r="F32" s="16">
        <v>16</v>
      </c>
      <c r="G32" s="14">
        <f t="shared" si="1"/>
        <v>0</v>
      </c>
      <c r="H32" s="19"/>
      <c r="I32" s="19"/>
      <c r="J32" s="19"/>
    </row>
    <row r="33" spans="1:10" x14ac:dyDescent="0.25">
      <c r="A33" s="14" t="s">
        <v>75</v>
      </c>
      <c r="B33" s="14" t="s">
        <v>42</v>
      </c>
      <c r="C33" s="14" t="s">
        <v>21</v>
      </c>
      <c r="D33" s="14" t="s">
        <v>11</v>
      </c>
      <c r="E33" s="15" t="s">
        <v>10</v>
      </c>
      <c r="F33" s="14">
        <v>12</v>
      </c>
      <c r="G33" s="14">
        <f t="shared" si="1"/>
        <v>0</v>
      </c>
      <c r="H33" s="17">
        <f>'[1]PU des matériels'!$L$73</f>
        <v>288850</v>
      </c>
      <c r="I33" s="17">
        <v>15000</v>
      </c>
      <c r="J33" s="17">
        <v>500000</v>
      </c>
    </row>
    <row r="34" spans="1:10" x14ac:dyDescent="0.25">
      <c r="A34" s="14" t="s">
        <v>76</v>
      </c>
      <c r="B34" s="14" t="s">
        <v>42</v>
      </c>
      <c r="C34" s="14" t="s">
        <v>22</v>
      </c>
      <c r="D34" s="14" t="s">
        <v>11</v>
      </c>
      <c r="E34" s="15" t="s">
        <v>10</v>
      </c>
      <c r="F34" s="14">
        <v>7</v>
      </c>
      <c r="G34" s="14">
        <f t="shared" si="1"/>
        <v>0</v>
      </c>
      <c r="H34" s="17">
        <f>'[1]PU des matériels'!$L$72</f>
        <v>373650</v>
      </c>
      <c r="I34" s="17">
        <v>20000</v>
      </c>
      <c r="J34" s="17">
        <v>600000</v>
      </c>
    </row>
    <row r="35" spans="1:10" x14ac:dyDescent="0.25">
      <c r="A35" s="22" t="s">
        <v>77</v>
      </c>
      <c r="B35" s="22" t="s">
        <v>78</v>
      </c>
      <c r="C35" s="22"/>
      <c r="D35" s="22" t="s">
        <v>20</v>
      </c>
      <c r="E35" s="23" t="s">
        <v>23</v>
      </c>
      <c r="F35" s="22">
        <v>2</v>
      </c>
      <c r="G35" s="14">
        <f t="shared" si="1"/>
        <v>0</v>
      </c>
      <c r="H35" s="24"/>
      <c r="I35" s="24"/>
      <c r="J35" s="24"/>
    </row>
    <row r="36" spans="1:10" x14ac:dyDescent="0.25">
      <c r="A36" s="14" t="s">
        <v>79</v>
      </c>
      <c r="B36" s="14" t="s">
        <v>42</v>
      </c>
      <c r="C36" s="14"/>
      <c r="D36" s="14" t="s">
        <v>24</v>
      </c>
      <c r="E36" s="15"/>
      <c r="F36" s="14">
        <v>20</v>
      </c>
      <c r="G36" s="14">
        <f t="shared" si="1"/>
        <v>0</v>
      </c>
      <c r="H36" s="17"/>
      <c r="I36" s="17"/>
      <c r="J36" s="17"/>
    </row>
    <row r="37" spans="1:10" x14ac:dyDescent="0.25">
      <c r="A37" s="14" t="s">
        <v>80</v>
      </c>
      <c r="B37" s="14" t="s">
        <v>42</v>
      </c>
      <c r="C37" s="14"/>
      <c r="D37" s="14" t="s">
        <v>24</v>
      </c>
      <c r="E37" s="15"/>
      <c r="F37" s="14">
        <v>19</v>
      </c>
      <c r="G37" s="14">
        <f t="shared" si="1"/>
        <v>0</v>
      </c>
      <c r="H37" s="17"/>
      <c r="I37" s="17"/>
      <c r="J37" s="17"/>
    </row>
    <row r="38" spans="1:10" x14ac:dyDescent="0.25">
      <c r="A38" s="14" t="s">
        <v>81</v>
      </c>
      <c r="B38" s="14" t="s">
        <v>42</v>
      </c>
      <c r="C38" s="14" t="s">
        <v>8</v>
      </c>
      <c r="D38" s="14" t="s">
        <v>15</v>
      </c>
      <c r="E38" s="15" t="s">
        <v>10</v>
      </c>
      <c r="F38" s="16">
        <v>458</v>
      </c>
      <c r="G38" s="14">
        <f t="shared" si="1"/>
        <v>0</v>
      </c>
      <c r="H38" s="17">
        <f>'[1]PU des matériels'!$L$8</f>
        <v>7950</v>
      </c>
      <c r="I38" s="17">
        <v>300</v>
      </c>
      <c r="J38" s="17">
        <v>30000</v>
      </c>
    </row>
    <row r="39" spans="1:10" x14ac:dyDescent="0.25">
      <c r="A39" s="16" t="s">
        <v>82</v>
      </c>
      <c r="B39" s="14" t="s">
        <v>42</v>
      </c>
      <c r="C39" s="14" t="s">
        <v>8</v>
      </c>
      <c r="D39" s="16" t="s">
        <v>19</v>
      </c>
      <c r="E39" s="18" t="s">
        <v>10</v>
      </c>
      <c r="F39" s="16">
        <v>504</v>
      </c>
      <c r="G39" s="14">
        <f t="shared" si="1"/>
        <v>0</v>
      </c>
      <c r="H39" s="19">
        <f>'[1]PU des matériels'!$L$48</f>
        <v>5724</v>
      </c>
      <c r="I39" s="19"/>
      <c r="J39" s="19">
        <v>15000</v>
      </c>
    </row>
    <row r="40" spans="1:10" x14ac:dyDescent="0.25">
      <c r="A40" s="16" t="s">
        <v>83</v>
      </c>
      <c r="B40" s="20" t="s">
        <v>42</v>
      </c>
      <c r="C40" s="20" t="s">
        <v>8</v>
      </c>
      <c r="D40" s="16" t="s">
        <v>19</v>
      </c>
      <c r="E40" s="18" t="s">
        <v>10</v>
      </c>
      <c r="F40" s="16">
        <v>511</v>
      </c>
      <c r="G40" s="14">
        <f t="shared" si="1"/>
        <v>0</v>
      </c>
      <c r="H40" s="19">
        <f>'[1]PU des matériels'!$L$45</f>
        <v>8745</v>
      </c>
      <c r="I40" s="19">
        <v>700</v>
      </c>
      <c r="J40" s="19">
        <v>25000</v>
      </c>
    </row>
    <row r="41" spans="1:10" x14ac:dyDescent="0.25">
      <c r="A41" s="16" t="s">
        <v>84</v>
      </c>
      <c r="B41" s="14" t="s">
        <v>42</v>
      </c>
      <c r="C41" s="14" t="s">
        <v>8</v>
      </c>
      <c r="D41" s="16" t="s">
        <v>19</v>
      </c>
      <c r="E41" s="18" t="s">
        <v>10</v>
      </c>
      <c r="F41" s="16">
        <v>490</v>
      </c>
      <c r="G41" s="14">
        <f t="shared" si="1"/>
        <v>0</v>
      </c>
      <c r="H41" s="19">
        <f>'[1]PU des matériels'!$L$52</f>
        <v>4240</v>
      </c>
      <c r="I41" s="19">
        <v>700</v>
      </c>
      <c r="J41" s="19">
        <v>25000</v>
      </c>
    </row>
    <row r="42" spans="1:10" x14ac:dyDescent="0.25">
      <c r="A42" s="22" t="s">
        <v>85</v>
      </c>
      <c r="B42" s="22" t="s">
        <v>42</v>
      </c>
      <c r="C42" s="22"/>
      <c r="D42" s="22" t="s">
        <v>24</v>
      </c>
      <c r="E42" s="23"/>
      <c r="F42" s="22">
        <v>798</v>
      </c>
      <c r="G42" s="14">
        <f t="shared" si="1"/>
        <v>0</v>
      </c>
      <c r="H42" s="22"/>
      <c r="I42" s="24"/>
      <c r="J42" s="24"/>
    </row>
    <row r="43" spans="1:10" x14ac:dyDescent="0.25">
      <c r="A43" s="16" t="s">
        <v>86</v>
      </c>
      <c r="B43" s="14" t="s">
        <v>42</v>
      </c>
      <c r="C43" s="14"/>
      <c r="D43" s="16" t="s">
        <v>24</v>
      </c>
      <c r="E43" s="18"/>
      <c r="F43" s="16">
        <v>10</v>
      </c>
      <c r="G43" s="14">
        <f t="shared" si="1"/>
        <v>0</v>
      </c>
      <c r="H43" s="19"/>
      <c r="I43" s="19"/>
      <c r="J43" s="19"/>
    </row>
    <row r="44" spans="1:10" x14ac:dyDescent="0.25">
      <c r="A44" s="14" t="s">
        <v>87</v>
      </c>
      <c r="B44" s="14" t="s">
        <v>42</v>
      </c>
      <c r="C44" s="14" t="s">
        <v>8</v>
      </c>
      <c r="D44" s="14" t="s">
        <v>24</v>
      </c>
      <c r="E44" s="15"/>
      <c r="F44" s="14">
        <v>28</v>
      </c>
      <c r="G44" s="14">
        <f t="shared" si="1"/>
        <v>0</v>
      </c>
      <c r="H44" s="14"/>
      <c r="I44" s="17">
        <v>5000</v>
      </c>
      <c r="J44" s="17"/>
    </row>
    <row r="45" spans="1:10" x14ac:dyDescent="0.25">
      <c r="A45" s="22" t="s">
        <v>88</v>
      </c>
      <c r="B45" s="22" t="s">
        <v>42</v>
      </c>
      <c r="C45" s="22"/>
      <c r="D45" s="22" t="s">
        <v>24</v>
      </c>
      <c r="E45" s="23"/>
      <c r="F45" s="22"/>
      <c r="G45" s="14">
        <f t="shared" si="1"/>
        <v>0</v>
      </c>
      <c r="H45" s="24"/>
      <c r="I45" s="24"/>
      <c r="J45" s="24"/>
    </row>
    <row r="46" spans="1:10" x14ac:dyDescent="0.25">
      <c r="A46" s="16" t="s">
        <v>89</v>
      </c>
      <c r="B46" s="14" t="s">
        <v>42</v>
      </c>
      <c r="C46" s="14"/>
      <c r="D46" s="16" t="s">
        <v>24</v>
      </c>
      <c r="E46" s="18"/>
      <c r="F46" s="16">
        <v>10</v>
      </c>
      <c r="G46" s="14">
        <f t="shared" si="1"/>
        <v>0</v>
      </c>
      <c r="H46" s="19"/>
      <c r="I46" s="19"/>
      <c r="J46" s="19"/>
    </row>
    <row r="47" spans="1:10" x14ac:dyDescent="0.25">
      <c r="A47" s="22" t="s">
        <v>90</v>
      </c>
      <c r="B47" s="22" t="s">
        <v>42</v>
      </c>
      <c r="C47" s="22" t="s">
        <v>8</v>
      </c>
      <c r="D47" s="22" t="s">
        <v>11</v>
      </c>
      <c r="E47" s="23"/>
      <c r="F47" s="22">
        <v>3</v>
      </c>
      <c r="G47" s="14">
        <f t="shared" si="1"/>
        <v>0</v>
      </c>
      <c r="H47" s="24">
        <f>'[1]PU des matériels'!$L$66</f>
        <v>96460</v>
      </c>
      <c r="I47" s="24"/>
      <c r="J47" s="24">
        <v>400000</v>
      </c>
    </row>
    <row r="48" spans="1:10" x14ac:dyDescent="0.25">
      <c r="A48" s="14" t="s">
        <v>91</v>
      </c>
      <c r="B48" s="14" t="s">
        <v>42</v>
      </c>
      <c r="C48" s="25" t="s">
        <v>25</v>
      </c>
      <c r="D48" s="14" t="s">
        <v>24</v>
      </c>
      <c r="E48" s="15"/>
      <c r="F48" s="14">
        <v>14</v>
      </c>
      <c r="G48" s="14">
        <f t="shared" si="1"/>
        <v>0</v>
      </c>
      <c r="H48" s="17">
        <f>'[1]PU des matériels'!$L$139</f>
        <v>71550</v>
      </c>
      <c r="I48" s="17"/>
      <c r="J48" s="17">
        <v>160000</v>
      </c>
    </row>
    <row r="49" spans="1:10" x14ac:dyDescent="0.25">
      <c r="A49" s="14" t="s">
        <v>92</v>
      </c>
      <c r="B49" s="14" t="s">
        <v>42</v>
      </c>
      <c r="C49" s="14" t="s">
        <v>8</v>
      </c>
      <c r="D49" s="14" t="s">
        <v>11</v>
      </c>
      <c r="E49" s="15" t="s">
        <v>10</v>
      </c>
      <c r="F49" s="14">
        <v>4</v>
      </c>
      <c r="G49" s="14">
        <f t="shared" ref="G49:G70" si="2">SUM(L49:ML49)</f>
        <v>0</v>
      </c>
      <c r="H49" s="17">
        <f>'[1]PU des matériels'!$L$59</f>
        <v>6360</v>
      </c>
      <c r="I49" s="17">
        <v>500</v>
      </c>
      <c r="J49" s="17">
        <v>15000</v>
      </c>
    </row>
    <row r="50" spans="1:10" x14ac:dyDescent="0.25">
      <c r="A50" s="14" t="s">
        <v>93</v>
      </c>
      <c r="B50" s="14" t="s">
        <v>42</v>
      </c>
      <c r="C50" s="14" t="s">
        <v>8</v>
      </c>
      <c r="D50" s="14" t="s">
        <v>11</v>
      </c>
      <c r="E50" s="15" t="s">
        <v>10</v>
      </c>
      <c r="F50" s="14">
        <v>49</v>
      </c>
      <c r="G50" s="14">
        <f t="shared" si="2"/>
        <v>0</v>
      </c>
      <c r="H50" s="14"/>
      <c r="I50" s="17">
        <v>500</v>
      </c>
      <c r="J50" s="17">
        <v>15000</v>
      </c>
    </row>
    <row r="51" spans="1:10" x14ac:dyDescent="0.25">
      <c r="A51" s="26" t="s">
        <v>94</v>
      </c>
      <c r="B51" s="26" t="s">
        <v>64</v>
      </c>
      <c r="C51" s="26" t="s">
        <v>8</v>
      </c>
      <c r="D51" s="26" t="s">
        <v>11</v>
      </c>
      <c r="E51" s="27" t="s">
        <v>10</v>
      </c>
      <c r="F51" s="26"/>
      <c r="G51" s="26">
        <f t="shared" si="2"/>
        <v>0</v>
      </c>
      <c r="H51" s="26" t="s">
        <v>26</v>
      </c>
      <c r="I51" s="28"/>
      <c r="J51" s="28"/>
    </row>
    <row r="52" spans="1:10" x14ac:dyDescent="0.25">
      <c r="A52" s="26" t="s">
        <v>95</v>
      </c>
      <c r="B52" s="26" t="s">
        <v>64</v>
      </c>
      <c r="C52" s="26" t="s">
        <v>8</v>
      </c>
      <c r="D52" s="26" t="s">
        <v>11</v>
      </c>
      <c r="E52" s="27" t="s">
        <v>10</v>
      </c>
      <c r="F52" s="26"/>
      <c r="G52" s="26">
        <f t="shared" si="2"/>
        <v>0</v>
      </c>
      <c r="H52" s="26" t="s">
        <v>26</v>
      </c>
      <c r="I52" s="28"/>
      <c r="J52" s="28"/>
    </row>
    <row r="53" spans="1:10" x14ac:dyDescent="0.25">
      <c r="A53" s="14" t="s">
        <v>96</v>
      </c>
      <c r="B53" s="14" t="s">
        <v>42</v>
      </c>
      <c r="C53" s="14" t="s">
        <v>8</v>
      </c>
      <c r="D53" s="14" t="s">
        <v>11</v>
      </c>
      <c r="E53" s="15" t="s">
        <v>10</v>
      </c>
      <c r="F53" s="14">
        <v>4</v>
      </c>
      <c r="G53" s="14">
        <f t="shared" si="2"/>
        <v>0</v>
      </c>
      <c r="H53" s="17">
        <f>'[1]PU des matériels'!$L$55</f>
        <v>4770</v>
      </c>
      <c r="I53" s="17"/>
      <c r="J53" s="17">
        <v>20000</v>
      </c>
    </row>
    <row r="54" spans="1:10" x14ac:dyDescent="0.25">
      <c r="A54" s="16" t="s">
        <v>97</v>
      </c>
      <c r="B54" s="14" t="s">
        <v>42</v>
      </c>
      <c r="C54" s="14" t="s">
        <v>8</v>
      </c>
      <c r="D54" s="16" t="s">
        <v>19</v>
      </c>
      <c r="E54" s="18" t="s">
        <v>10</v>
      </c>
      <c r="F54" s="16">
        <v>490</v>
      </c>
      <c r="G54" s="14">
        <f t="shared" si="2"/>
        <v>0</v>
      </c>
      <c r="H54" s="19">
        <f>'[1]PU des matériels'!$L$50</f>
        <v>3498</v>
      </c>
      <c r="I54" s="19"/>
      <c r="J54" s="19">
        <v>15000</v>
      </c>
    </row>
    <row r="55" spans="1:10" x14ac:dyDescent="0.25">
      <c r="A55" s="16" t="s">
        <v>98</v>
      </c>
      <c r="B55" s="20" t="s">
        <v>42</v>
      </c>
      <c r="C55" s="20" t="s">
        <v>8</v>
      </c>
      <c r="D55" s="16" t="s">
        <v>19</v>
      </c>
      <c r="E55" s="18" t="s">
        <v>10</v>
      </c>
      <c r="F55" s="16">
        <v>435</v>
      </c>
      <c r="G55" s="14">
        <f t="shared" si="2"/>
        <v>0</v>
      </c>
      <c r="H55" s="19">
        <f>'[1]PU des matériels'!$L$46</f>
        <v>6625</v>
      </c>
      <c r="I55" s="19">
        <v>700</v>
      </c>
      <c r="J55" s="19">
        <v>25000</v>
      </c>
    </row>
    <row r="56" spans="1:10" x14ac:dyDescent="0.25">
      <c r="A56" s="16" t="s">
        <v>99</v>
      </c>
      <c r="B56" s="14" t="s">
        <v>42</v>
      </c>
      <c r="C56" s="14" t="s">
        <v>8</v>
      </c>
      <c r="D56" s="16" t="s">
        <v>19</v>
      </c>
      <c r="E56" s="18" t="s">
        <v>10</v>
      </c>
      <c r="F56" s="16">
        <v>497</v>
      </c>
      <c r="G56" s="14">
        <f t="shared" si="2"/>
        <v>0</v>
      </c>
      <c r="H56" s="19">
        <f>'[1]PU des matériels'!$L$54</f>
        <v>3498</v>
      </c>
      <c r="I56" s="19">
        <v>700</v>
      </c>
      <c r="J56" s="19">
        <v>25000</v>
      </c>
    </row>
    <row r="57" spans="1:10" x14ac:dyDescent="0.25">
      <c r="A57" s="16" t="s">
        <v>100</v>
      </c>
      <c r="B57" s="14" t="s">
        <v>42</v>
      </c>
      <c r="C57" s="14"/>
      <c r="D57" s="16" t="s">
        <v>11</v>
      </c>
      <c r="E57" s="18" t="s">
        <v>10</v>
      </c>
      <c r="F57" s="16">
        <v>10</v>
      </c>
      <c r="G57" s="14">
        <f t="shared" si="2"/>
        <v>0</v>
      </c>
      <c r="H57" s="19"/>
      <c r="I57" s="19"/>
      <c r="J57" s="19"/>
    </row>
    <row r="58" spans="1:10" x14ac:dyDescent="0.25">
      <c r="A58" s="16" t="s">
        <v>101</v>
      </c>
      <c r="B58" s="14" t="s">
        <v>42</v>
      </c>
      <c r="C58" s="14"/>
      <c r="D58" s="16" t="s">
        <v>11</v>
      </c>
      <c r="E58" s="18" t="s">
        <v>10</v>
      </c>
      <c r="F58" s="16">
        <v>12</v>
      </c>
      <c r="G58" s="14">
        <f t="shared" si="2"/>
        <v>0</v>
      </c>
      <c r="H58" s="19"/>
      <c r="I58" s="19"/>
      <c r="J58" s="19"/>
    </row>
    <row r="59" spans="1:10" x14ac:dyDescent="0.25">
      <c r="A59" s="16" t="s">
        <v>102</v>
      </c>
      <c r="B59" s="14" t="s">
        <v>42</v>
      </c>
      <c r="C59" s="14"/>
      <c r="D59" s="16" t="s">
        <v>11</v>
      </c>
      <c r="E59" s="18" t="s">
        <v>10</v>
      </c>
      <c r="F59" s="16">
        <v>12</v>
      </c>
      <c r="G59" s="14">
        <f t="shared" si="2"/>
        <v>0</v>
      </c>
      <c r="H59" s="19"/>
      <c r="I59" s="19"/>
      <c r="J59" s="19"/>
    </row>
    <row r="60" spans="1:10" x14ac:dyDescent="0.25">
      <c r="A60" s="16" t="s">
        <v>103</v>
      </c>
      <c r="B60" s="14" t="s">
        <v>42</v>
      </c>
      <c r="C60" s="14"/>
      <c r="D60" s="16" t="s">
        <v>11</v>
      </c>
      <c r="E60" s="18" t="s">
        <v>10</v>
      </c>
      <c r="F60" s="16">
        <v>12</v>
      </c>
      <c r="G60" s="14">
        <f t="shared" si="2"/>
        <v>0</v>
      </c>
      <c r="H60" s="19"/>
      <c r="I60" s="19"/>
      <c r="J60" s="19"/>
    </row>
    <row r="61" spans="1:10" x14ac:dyDescent="0.25">
      <c r="A61" s="16" t="s">
        <v>104</v>
      </c>
      <c r="B61" s="16" t="s">
        <v>42</v>
      </c>
      <c r="C61" s="16" t="s">
        <v>8</v>
      </c>
      <c r="D61" s="16" t="s">
        <v>11</v>
      </c>
      <c r="E61" s="23" t="s">
        <v>10</v>
      </c>
      <c r="F61" s="16">
        <v>12</v>
      </c>
      <c r="G61" s="14">
        <f t="shared" si="2"/>
        <v>0</v>
      </c>
      <c r="H61" s="19"/>
      <c r="I61" s="19">
        <v>500</v>
      </c>
      <c r="J61" s="19">
        <v>20000</v>
      </c>
    </row>
    <row r="62" spans="1:10" x14ac:dyDescent="0.25">
      <c r="A62" s="14" t="s">
        <v>105</v>
      </c>
      <c r="B62" s="14" t="s">
        <v>52</v>
      </c>
      <c r="C62" s="14" t="s">
        <v>8</v>
      </c>
      <c r="D62" s="14" t="s">
        <v>24</v>
      </c>
      <c r="E62" s="15" t="s">
        <v>10</v>
      </c>
      <c r="F62" s="14">
        <v>160</v>
      </c>
      <c r="G62" s="14">
        <f t="shared" si="2"/>
        <v>0</v>
      </c>
      <c r="H62" s="17">
        <f>'[1]PU des matériels'!$M$137/F62</f>
        <v>79500</v>
      </c>
      <c r="I62" s="17"/>
      <c r="J62" s="17"/>
    </row>
    <row r="63" spans="1:10" x14ac:dyDescent="0.25">
      <c r="A63" s="14" t="s">
        <v>106</v>
      </c>
      <c r="B63" s="14" t="s">
        <v>42</v>
      </c>
      <c r="C63" s="14" t="s">
        <v>8</v>
      </c>
      <c r="D63" s="14" t="s">
        <v>11</v>
      </c>
      <c r="E63" s="15"/>
      <c r="F63" s="14">
        <v>10</v>
      </c>
      <c r="G63" s="14">
        <f t="shared" si="2"/>
        <v>0</v>
      </c>
      <c r="H63" s="17">
        <f>'[1]PU des matériels'!$L$26</f>
        <v>12190</v>
      </c>
      <c r="I63" s="17">
        <v>4000</v>
      </c>
      <c r="J63" s="17">
        <v>40000</v>
      </c>
    </row>
    <row r="64" spans="1:10" x14ac:dyDescent="0.25">
      <c r="A64" s="14" t="s">
        <v>107</v>
      </c>
      <c r="B64" s="14" t="s">
        <v>42</v>
      </c>
      <c r="C64" s="14" t="s">
        <v>8</v>
      </c>
      <c r="D64" s="14" t="s">
        <v>11</v>
      </c>
      <c r="E64" s="15" t="s">
        <v>10</v>
      </c>
      <c r="F64" s="14">
        <v>9</v>
      </c>
      <c r="G64" s="14">
        <f t="shared" si="2"/>
        <v>0</v>
      </c>
      <c r="H64" s="17">
        <f>'[1]PU des matériels'!$L$21</f>
        <v>10176</v>
      </c>
      <c r="I64" s="17">
        <v>4000</v>
      </c>
      <c r="J64" s="17">
        <v>40000</v>
      </c>
    </row>
    <row r="65" spans="1:10" x14ac:dyDescent="0.25">
      <c r="A65" s="14" t="s">
        <v>108</v>
      </c>
      <c r="B65" s="14" t="s">
        <v>42</v>
      </c>
      <c r="C65" s="14" t="s">
        <v>8</v>
      </c>
      <c r="D65" s="14" t="s">
        <v>11</v>
      </c>
      <c r="E65" s="15" t="s">
        <v>10</v>
      </c>
      <c r="F65" s="14">
        <v>10</v>
      </c>
      <c r="G65" s="14">
        <f t="shared" si="2"/>
        <v>0</v>
      </c>
      <c r="H65" s="17">
        <f>'[1]PU des matériels'!$L$23</f>
        <v>14734</v>
      </c>
      <c r="I65" s="17">
        <v>4000</v>
      </c>
      <c r="J65" s="17">
        <v>40000</v>
      </c>
    </row>
    <row r="66" spans="1:10" x14ac:dyDescent="0.25">
      <c r="A66" s="14" t="s">
        <v>109</v>
      </c>
      <c r="B66" s="14" t="s">
        <v>42</v>
      </c>
      <c r="C66" s="14" t="s">
        <v>8</v>
      </c>
      <c r="D66" s="14" t="s">
        <v>11</v>
      </c>
      <c r="E66" s="15" t="s">
        <v>10</v>
      </c>
      <c r="F66" s="14">
        <v>10</v>
      </c>
      <c r="G66" s="14">
        <f t="shared" si="2"/>
        <v>0</v>
      </c>
      <c r="H66" s="17">
        <f>+'[1]PU des matériels'!$L$22</f>
        <v>11554</v>
      </c>
      <c r="I66" s="17">
        <v>4000</v>
      </c>
      <c r="J66" s="17">
        <v>40000</v>
      </c>
    </row>
    <row r="67" spans="1:10" x14ac:dyDescent="0.25">
      <c r="A67" s="14" t="s">
        <v>110</v>
      </c>
      <c r="B67" s="14" t="s">
        <v>42</v>
      </c>
      <c r="C67" s="14" t="s">
        <v>8</v>
      </c>
      <c r="D67" s="14" t="s">
        <v>11</v>
      </c>
      <c r="E67" s="15" t="s">
        <v>10</v>
      </c>
      <c r="F67" s="14">
        <v>5</v>
      </c>
      <c r="G67" s="14">
        <f t="shared" si="2"/>
        <v>0</v>
      </c>
      <c r="H67" s="17">
        <f>'[1]PU des matériels'!$L$25</f>
        <v>24115</v>
      </c>
      <c r="I67" s="17">
        <v>4000</v>
      </c>
      <c r="J67" s="17">
        <v>40000</v>
      </c>
    </row>
    <row r="68" spans="1:10" x14ac:dyDescent="0.25">
      <c r="A68" s="14" t="s">
        <v>111</v>
      </c>
      <c r="B68" s="14" t="s">
        <v>42</v>
      </c>
      <c r="C68" s="14" t="s">
        <v>8</v>
      </c>
      <c r="D68" s="14" t="s">
        <v>11</v>
      </c>
      <c r="E68" s="15" t="s">
        <v>10</v>
      </c>
      <c r="F68" s="14">
        <v>5</v>
      </c>
      <c r="G68" s="14">
        <f t="shared" si="2"/>
        <v>0</v>
      </c>
      <c r="H68" s="17">
        <f>'[1]PU des matériels'!$L$24</f>
        <v>12190</v>
      </c>
      <c r="I68" s="17">
        <v>4000</v>
      </c>
      <c r="J68" s="17">
        <v>40000</v>
      </c>
    </row>
    <row r="69" spans="1:10" x14ac:dyDescent="0.25">
      <c r="A69" s="14" t="s">
        <v>112</v>
      </c>
      <c r="B69" s="14" t="s">
        <v>42</v>
      </c>
      <c r="C69" s="14"/>
      <c r="D69" s="14" t="s">
        <v>20</v>
      </c>
      <c r="E69" s="15"/>
      <c r="F69" s="14">
        <v>8</v>
      </c>
      <c r="G69" s="14">
        <f t="shared" si="2"/>
        <v>0</v>
      </c>
      <c r="H69" s="17"/>
      <c r="I69" s="17"/>
      <c r="J69" s="17"/>
    </row>
    <row r="70" spans="1:10" x14ac:dyDescent="0.25">
      <c r="A70" s="14" t="s">
        <v>113</v>
      </c>
      <c r="B70" s="14" t="s">
        <v>42</v>
      </c>
      <c r="C70" s="14"/>
      <c r="D70" s="14" t="s">
        <v>20</v>
      </c>
      <c r="E70" s="15"/>
      <c r="F70" s="14">
        <v>8</v>
      </c>
      <c r="G70" s="14">
        <f t="shared" si="2"/>
        <v>0</v>
      </c>
      <c r="H70" s="17"/>
      <c r="I70" s="17"/>
      <c r="J70" s="17"/>
    </row>
    <row r="71" spans="1:10" x14ac:dyDescent="0.25">
      <c r="A71" s="14" t="s">
        <v>114</v>
      </c>
      <c r="B71" s="14" t="s">
        <v>115</v>
      </c>
      <c r="C71" s="14" t="s">
        <v>8</v>
      </c>
      <c r="D71" s="14" t="s">
        <v>11</v>
      </c>
      <c r="E71" s="15"/>
      <c r="F71" s="14">
        <v>3</v>
      </c>
      <c r="G71" s="14">
        <v>0</v>
      </c>
      <c r="H71" s="14"/>
      <c r="I71" s="17"/>
      <c r="J71" s="17"/>
    </row>
    <row r="72" spans="1:10" x14ac:dyDescent="0.25">
      <c r="A72" s="14" t="s">
        <v>116</v>
      </c>
      <c r="B72" s="14" t="s">
        <v>117</v>
      </c>
      <c r="C72" s="14" t="s">
        <v>27</v>
      </c>
      <c r="D72" s="14" t="s">
        <v>11</v>
      </c>
      <c r="E72" s="15"/>
      <c r="F72" s="14">
        <v>10</v>
      </c>
      <c r="G72" s="14">
        <f t="shared" ref="G72:G103" si="3">SUM(L72:ML72)</f>
        <v>0</v>
      </c>
      <c r="H72" s="17">
        <f>'[1]PU des matériels'!$L$75</f>
        <v>215710</v>
      </c>
      <c r="I72" s="17">
        <v>12000</v>
      </c>
      <c r="J72" s="17">
        <v>600000</v>
      </c>
    </row>
    <row r="73" spans="1:10" x14ac:dyDescent="0.25">
      <c r="A73" s="14" t="s">
        <v>118</v>
      </c>
      <c r="B73" s="14" t="s">
        <v>42</v>
      </c>
      <c r="C73" s="14" t="s">
        <v>28</v>
      </c>
      <c r="D73" s="14" t="s">
        <v>11</v>
      </c>
      <c r="E73" s="15"/>
      <c r="F73" s="14">
        <v>10</v>
      </c>
      <c r="G73" s="14">
        <f t="shared" si="3"/>
        <v>0</v>
      </c>
      <c r="H73" s="17">
        <f>'[1]PU des matériels'!$L$74</f>
        <v>465870</v>
      </c>
      <c r="I73" s="17">
        <v>12000</v>
      </c>
      <c r="J73" s="17">
        <v>600000</v>
      </c>
    </row>
    <row r="74" spans="1:10" x14ac:dyDescent="0.25">
      <c r="A74" s="14" t="s">
        <v>119</v>
      </c>
      <c r="B74" s="14" t="s">
        <v>42</v>
      </c>
      <c r="C74" s="14" t="s">
        <v>29</v>
      </c>
      <c r="D74" s="14" t="s">
        <v>11</v>
      </c>
      <c r="E74" s="15"/>
      <c r="F74" s="14" t="s">
        <v>30</v>
      </c>
      <c r="G74" s="14">
        <f t="shared" si="3"/>
        <v>0</v>
      </c>
      <c r="H74" s="17">
        <f>+'[1]PU des matériels'!$L$76</f>
        <v>339200</v>
      </c>
      <c r="I74" s="17">
        <v>12000</v>
      </c>
      <c r="J74" s="17">
        <v>600000</v>
      </c>
    </row>
    <row r="75" spans="1:10" x14ac:dyDescent="0.25">
      <c r="A75" s="14" t="s">
        <v>120</v>
      </c>
      <c r="B75" s="14" t="s">
        <v>42</v>
      </c>
      <c r="C75" s="14" t="s">
        <v>31</v>
      </c>
      <c r="D75" s="14" t="s">
        <v>11</v>
      </c>
      <c r="E75" s="15"/>
      <c r="F75" s="14">
        <v>4</v>
      </c>
      <c r="G75" s="14">
        <f t="shared" si="3"/>
        <v>0</v>
      </c>
      <c r="H75" s="17">
        <f>'[1]PU des matériels'!$L$104</f>
        <v>136740</v>
      </c>
      <c r="I75" s="17">
        <v>22000</v>
      </c>
      <c r="J75" s="17">
        <v>300000</v>
      </c>
    </row>
    <row r="76" spans="1:10" x14ac:dyDescent="0.25">
      <c r="A76" s="14" t="s">
        <v>121</v>
      </c>
      <c r="B76" s="14" t="s">
        <v>42</v>
      </c>
      <c r="C76" s="14" t="s">
        <v>31</v>
      </c>
      <c r="D76" s="14" t="s">
        <v>11</v>
      </c>
      <c r="E76" s="15"/>
      <c r="F76" s="14">
        <v>4</v>
      </c>
      <c r="G76" s="14">
        <f t="shared" si="3"/>
        <v>0</v>
      </c>
      <c r="H76" s="17">
        <f>'[1]PU des matériels'!$L$103</f>
        <v>120840</v>
      </c>
      <c r="I76" s="17">
        <v>22000</v>
      </c>
      <c r="J76" s="17">
        <v>300000</v>
      </c>
    </row>
    <row r="77" spans="1:10" x14ac:dyDescent="0.25">
      <c r="A77" s="14" t="s">
        <v>122</v>
      </c>
      <c r="B77" s="14" t="s">
        <v>42</v>
      </c>
      <c r="C77" s="14" t="s">
        <v>31</v>
      </c>
      <c r="D77" s="14" t="s">
        <v>11</v>
      </c>
      <c r="E77" s="15"/>
      <c r="F77" s="14">
        <v>4</v>
      </c>
      <c r="G77" s="14">
        <f t="shared" si="3"/>
        <v>0</v>
      </c>
      <c r="H77" s="17">
        <f>'[1]PU des matériels'!$L$102</f>
        <v>104410</v>
      </c>
      <c r="I77" s="17">
        <v>22000</v>
      </c>
      <c r="J77" s="17">
        <v>300000</v>
      </c>
    </row>
    <row r="78" spans="1:10" x14ac:dyDescent="0.25">
      <c r="A78" s="14" t="s">
        <v>123</v>
      </c>
      <c r="B78" s="14" t="s">
        <v>42</v>
      </c>
      <c r="C78" s="14" t="s">
        <v>32</v>
      </c>
      <c r="D78" s="14" t="s">
        <v>11</v>
      </c>
      <c r="E78" s="15"/>
      <c r="F78" s="14">
        <v>4</v>
      </c>
      <c r="G78" s="14">
        <f t="shared" si="3"/>
        <v>0</v>
      </c>
      <c r="H78" s="17">
        <f>'[1]PU des matériels'!$L$107</f>
        <v>187090</v>
      </c>
      <c r="I78" s="17">
        <v>22000</v>
      </c>
      <c r="J78" s="17">
        <v>300000</v>
      </c>
    </row>
    <row r="79" spans="1:10" x14ac:dyDescent="0.25">
      <c r="A79" s="14" t="s">
        <v>124</v>
      </c>
      <c r="B79" s="14" t="s">
        <v>42</v>
      </c>
      <c r="C79" s="14" t="s">
        <v>32</v>
      </c>
      <c r="D79" s="14" t="s">
        <v>11</v>
      </c>
      <c r="E79" s="15"/>
      <c r="F79" s="14">
        <v>4</v>
      </c>
      <c r="G79" s="14">
        <f t="shared" si="3"/>
        <v>0</v>
      </c>
      <c r="H79" s="17">
        <f>'[1]PU des matériels'!$L$106</f>
        <v>153170</v>
      </c>
      <c r="I79" s="17">
        <v>22000</v>
      </c>
      <c r="J79" s="17">
        <v>300000</v>
      </c>
    </row>
    <row r="80" spans="1:10" x14ac:dyDescent="0.25">
      <c r="A80" s="14" t="s">
        <v>125</v>
      </c>
      <c r="B80" s="14" t="s">
        <v>126</v>
      </c>
      <c r="C80" s="14" t="s">
        <v>32</v>
      </c>
      <c r="D80" s="14" t="s">
        <v>11</v>
      </c>
      <c r="E80" s="15"/>
      <c r="F80" s="14">
        <v>4</v>
      </c>
      <c r="G80" s="14">
        <f t="shared" si="3"/>
        <v>0</v>
      </c>
      <c r="H80" s="17">
        <f>'[1]PU des matériels'!$L$105</f>
        <v>120840</v>
      </c>
      <c r="I80" s="17">
        <v>22000</v>
      </c>
      <c r="J80" s="17">
        <v>300000</v>
      </c>
    </row>
    <row r="81" spans="1:10" x14ac:dyDescent="0.25">
      <c r="A81" s="14" t="s">
        <v>127</v>
      </c>
      <c r="B81" s="14" t="s">
        <v>126</v>
      </c>
      <c r="C81" s="14" t="s">
        <v>33</v>
      </c>
      <c r="D81" s="14" t="s">
        <v>11</v>
      </c>
      <c r="E81" s="15"/>
      <c r="F81" s="14">
        <v>4</v>
      </c>
      <c r="G81" s="14">
        <f t="shared" si="3"/>
        <v>0</v>
      </c>
      <c r="H81" s="17">
        <f>'[1]PU des matériels'!$L$110</f>
        <v>104940</v>
      </c>
      <c r="I81" s="17">
        <v>22000</v>
      </c>
      <c r="J81" s="17">
        <v>400000</v>
      </c>
    </row>
    <row r="82" spans="1:10" x14ac:dyDescent="0.25">
      <c r="A82" s="14" t="s">
        <v>128</v>
      </c>
      <c r="B82" s="14" t="s">
        <v>42</v>
      </c>
      <c r="C82" s="14" t="s">
        <v>33</v>
      </c>
      <c r="D82" s="14" t="s">
        <v>11</v>
      </c>
      <c r="E82" s="15"/>
      <c r="F82" s="14">
        <v>4</v>
      </c>
      <c r="G82" s="14">
        <f t="shared" si="3"/>
        <v>0</v>
      </c>
      <c r="H82" s="17">
        <f>'[1]PU des matériels'!$L$109</f>
        <v>62540</v>
      </c>
      <c r="I82" s="17">
        <v>22000</v>
      </c>
      <c r="J82" s="17">
        <v>300000</v>
      </c>
    </row>
    <row r="83" spans="1:10" x14ac:dyDescent="0.25">
      <c r="A83" s="14" t="s">
        <v>129</v>
      </c>
      <c r="B83" s="14" t="s">
        <v>42</v>
      </c>
      <c r="C83" s="14" t="s">
        <v>33</v>
      </c>
      <c r="D83" s="14" t="s">
        <v>11</v>
      </c>
      <c r="E83" s="15"/>
      <c r="F83" s="14">
        <v>4</v>
      </c>
      <c r="G83" s="14">
        <f t="shared" si="3"/>
        <v>0</v>
      </c>
      <c r="H83" s="17">
        <f>'[1]PU des matériels'!$L$108</f>
        <v>47170</v>
      </c>
      <c r="I83" s="17">
        <v>22000</v>
      </c>
      <c r="J83" s="17">
        <v>300000</v>
      </c>
    </row>
    <row r="84" spans="1:10" x14ac:dyDescent="0.25">
      <c r="A84" s="14" t="s">
        <v>130</v>
      </c>
      <c r="B84" s="14" t="s">
        <v>42</v>
      </c>
      <c r="C84" s="14" t="s">
        <v>34</v>
      </c>
      <c r="D84" s="14" t="s">
        <v>11</v>
      </c>
      <c r="E84" s="15"/>
      <c r="F84" s="14">
        <v>4</v>
      </c>
      <c r="G84" s="14">
        <f t="shared" si="3"/>
        <v>0</v>
      </c>
      <c r="H84" s="17">
        <f>'[1]PU des matériels'!$L$77</f>
        <v>184970</v>
      </c>
      <c r="I84" s="17">
        <v>22000</v>
      </c>
      <c r="J84" s="17">
        <v>300000</v>
      </c>
    </row>
    <row r="85" spans="1:10" x14ac:dyDescent="0.25">
      <c r="A85" s="14" t="s">
        <v>131</v>
      </c>
      <c r="B85" s="14" t="s">
        <v>42</v>
      </c>
      <c r="C85" s="14" t="s">
        <v>34</v>
      </c>
      <c r="D85" s="14" t="s">
        <v>11</v>
      </c>
      <c r="E85" s="15"/>
      <c r="F85" s="14">
        <v>4</v>
      </c>
      <c r="G85" s="14">
        <f t="shared" si="3"/>
        <v>0</v>
      </c>
      <c r="H85" s="17">
        <f>'[1]PU des matériels'!$L$77</f>
        <v>184970</v>
      </c>
      <c r="I85" s="17">
        <v>22000</v>
      </c>
      <c r="J85" s="17">
        <v>300000</v>
      </c>
    </row>
    <row r="86" spans="1:10" x14ac:dyDescent="0.25">
      <c r="A86" s="14" t="s">
        <v>132</v>
      </c>
      <c r="B86" s="14" t="s">
        <v>42</v>
      </c>
      <c r="C86" s="14" t="s">
        <v>34</v>
      </c>
      <c r="D86" s="14" t="s">
        <v>11</v>
      </c>
      <c r="E86" s="15"/>
      <c r="F86" s="14"/>
      <c r="G86" s="14">
        <f t="shared" si="3"/>
        <v>0</v>
      </c>
      <c r="H86" s="17">
        <f>'[1]PU des matériels'!$L$77</f>
        <v>184970</v>
      </c>
      <c r="I86" s="17">
        <v>22000</v>
      </c>
      <c r="J86" s="17">
        <v>300000</v>
      </c>
    </row>
    <row r="87" spans="1:10" x14ac:dyDescent="0.25">
      <c r="A87" s="14" t="s">
        <v>133</v>
      </c>
      <c r="B87" s="14" t="s">
        <v>42</v>
      </c>
      <c r="C87" s="14" t="s">
        <v>35</v>
      </c>
      <c r="D87" s="14" t="s">
        <v>11</v>
      </c>
      <c r="E87" s="15"/>
      <c r="F87" s="14">
        <v>4</v>
      </c>
      <c r="G87" s="14">
        <f t="shared" si="3"/>
        <v>0</v>
      </c>
      <c r="H87" s="17">
        <f>'[1]PU des matériels'!$L$87</f>
        <v>99640</v>
      </c>
      <c r="I87" s="17">
        <v>22000</v>
      </c>
      <c r="J87" s="17">
        <v>300000</v>
      </c>
    </row>
    <row r="88" spans="1:10" x14ac:dyDescent="0.25">
      <c r="A88" s="14" t="s">
        <v>134</v>
      </c>
      <c r="B88" s="14" t="s">
        <v>42</v>
      </c>
      <c r="C88" s="14" t="s">
        <v>35</v>
      </c>
      <c r="D88" s="14" t="s">
        <v>11</v>
      </c>
      <c r="E88" s="15"/>
      <c r="F88" s="14">
        <v>4</v>
      </c>
      <c r="G88" s="14">
        <f t="shared" si="3"/>
        <v>0</v>
      </c>
      <c r="H88" s="17">
        <f>'[1]PU des matériels'!$L$88</f>
        <v>149460</v>
      </c>
      <c r="I88" s="17">
        <v>22000</v>
      </c>
      <c r="J88" s="17">
        <v>450000</v>
      </c>
    </row>
    <row r="89" spans="1:10" x14ac:dyDescent="0.25">
      <c r="A89" s="14" t="s">
        <v>135</v>
      </c>
      <c r="B89" s="14" t="s">
        <v>42</v>
      </c>
      <c r="C89" s="14" t="s">
        <v>35</v>
      </c>
      <c r="D89" s="14" t="s">
        <v>11</v>
      </c>
      <c r="E89" s="15"/>
      <c r="F89" s="14">
        <v>4</v>
      </c>
      <c r="G89" s="14">
        <f t="shared" si="3"/>
        <v>0</v>
      </c>
      <c r="H89" s="17">
        <f>'[1]PU des matériels'!$L$86</f>
        <v>61480</v>
      </c>
      <c r="I89" s="17">
        <v>22000</v>
      </c>
      <c r="J89" s="17">
        <v>200000</v>
      </c>
    </row>
    <row r="90" spans="1:10" x14ac:dyDescent="0.25">
      <c r="A90" s="14" t="s">
        <v>136</v>
      </c>
      <c r="B90" s="14" t="s">
        <v>42</v>
      </c>
      <c r="C90" s="14" t="s">
        <v>36</v>
      </c>
      <c r="D90" s="14" t="s">
        <v>11</v>
      </c>
      <c r="E90" s="15"/>
      <c r="F90" s="14">
        <v>4</v>
      </c>
      <c r="G90" s="14">
        <f t="shared" si="3"/>
        <v>0</v>
      </c>
      <c r="H90" s="17">
        <f>'[1]PU des matériels'!$L$94</f>
        <v>379480</v>
      </c>
      <c r="I90" s="17">
        <v>22000</v>
      </c>
      <c r="J90" s="17">
        <v>600000</v>
      </c>
    </row>
    <row r="91" spans="1:10" x14ac:dyDescent="0.25">
      <c r="A91" s="14" t="s">
        <v>137</v>
      </c>
      <c r="B91" s="14" t="s">
        <v>42</v>
      </c>
      <c r="C91" s="14" t="s">
        <v>36</v>
      </c>
      <c r="D91" s="14" t="s">
        <v>11</v>
      </c>
      <c r="E91" s="15"/>
      <c r="F91" s="14">
        <v>4</v>
      </c>
      <c r="G91" s="14">
        <f t="shared" si="3"/>
        <v>0</v>
      </c>
      <c r="H91" s="17">
        <f>'[1]PU des matériels'!$L$93</f>
        <v>279840</v>
      </c>
      <c r="I91" s="17">
        <v>22000</v>
      </c>
      <c r="J91" s="17">
        <v>600000</v>
      </c>
    </row>
    <row r="92" spans="1:10" x14ac:dyDescent="0.25">
      <c r="A92" s="14" t="s">
        <v>138</v>
      </c>
      <c r="B92" s="14" t="s">
        <v>42</v>
      </c>
      <c r="C92" s="14" t="s">
        <v>36</v>
      </c>
      <c r="D92" s="14" t="s">
        <v>11</v>
      </c>
      <c r="E92" s="15"/>
      <c r="F92" s="14">
        <v>4</v>
      </c>
      <c r="G92" s="14">
        <f t="shared" si="3"/>
        <v>0</v>
      </c>
      <c r="H92" s="17">
        <f>'[1]PU des matériels'!$L$92</f>
        <v>177550</v>
      </c>
      <c r="I92" s="17">
        <v>22000</v>
      </c>
      <c r="J92" s="17">
        <v>600000</v>
      </c>
    </row>
    <row r="93" spans="1:10" x14ac:dyDescent="0.25">
      <c r="A93" s="14" t="s">
        <v>139</v>
      </c>
      <c r="B93" s="14" t="s">
        <v>64</v>
      </c>
      <c r="C93" s="14" t="s">
        <v>8</v>
      </c>
      <c r="D93" s="14" t="s">
        <v>8</v>
      </c>
      <c r="E93" s="15"/>
      <c r="F93" s="14">
        <v>2</v>
      </c>
      <c r="G93" s="14">
        <f t="shared" si="3"/>
        <v>0</v>
      </c>
      <c r="H93" s="14"/>
      <c r="I93" s="17"/>
      <c r="J93" s="17"/>
    </row>
    <row r="94" spans="1:10" x14ac:dyDescent="0.25">
      <c r="A94" s="22" t="s">
        <v>140</v>
      </c>
      <c r="B94" s="22" t="s">
        <v>78</v>
      </c>
      <c r="C94" s="22"/>
      <c r="D94" s="22" t="s">
        <v>20</v>
      </c>
      <c r="E94" s="23"/>
      <c r="F94" s="22">
        <v>6</v>
      </c>
      <c r="G94" s="14">
        <f t="shared" si="3"/>
        <v>0</v>
      </c>
      <c r="H94" s="24"/>
      <c r="I94" s="24"/>
      <c r="J94" s="24"/>
    </row>
    <row r="95" spans="1:10" x14ac:dyDescent="0.25">
      <c r="A95" s="14" t="s">
        <v>141</v>
      </c>
      <c r="B95" s="14" t="s">
        <v>42</v>
      </c>
      <c r="C95" s="14" t="s">
        <v>8</v>
      </c>
      <c r="D95" s="14" t="s">
        <v>9</v>
      </c>
      <c r="E95" s="15"/>
      <c r="F95" s="14">
        <v>494</v>
      </c>
      <c r="G95" s="14">
        <f t="shared" si="3"/>
        <v>0</v>
      </c>
      <c r="H95" s="17">
        <f>'[1]PU des matériels'!$L$40</f>
        <v>2544</v>
      </c>
      <c r="I95" s="17">
        <v>200</v>
      </c>
      <c r="J95" s="17">
        <v>10000</v>
      </c>
    </row>
    <row r="96" spans="1:10" x14ac:dyDescent="0.25">
      <c r="A96" s="14" t="s">
        <v>142</v>
      </c>
      <c r="B96" s="14" t="s">
        <v>42</v>
      </c>
      <c r="C96" s="14" t="s">
        <v>8</v>
      </c>
      <c r="D96" s="14" t="s">
        <v>9</v>
      </c>
      <c r="E96" s="15"/>
      <c r="F96" s="14">
        <v>489</v>
      </c>
      <c r="G96" s="14">
        <f t="shared" si="3"/>
        <v>0</v>
      </c>
      <c r="H96" s="17">
        <f>'[1]PU des matériels'!$L$33</f>
        <v>2226</v>
      </c>
      <c r="I96" s="17">
        <v>200</v>
      </c>
      <c r="J96" s="17">
        <v>10000</v>
      </c>
    </row>
    <row r="97" spans="1:10" x14ac:dyDescent="0.25">
      <c r="A97" s="14" t="s">
        <v>143</v>
      </c>
      <c r="B97" s="14" t="s">
        <v>42</v>
      </c>
      <c r="C97" s="14" t="s">
        <v>8</v>
      </c>
      <c r="D97" s="14" t="s">
        <v>9</v>
      </c>
      <c r="E97" s="15"/>
      <c r="F97" s="14">
        <v>46</v>
      </c>
      <c r="G97" s="14">
        <f t="shared" si="3"/>
        <v>0</v>
      </c>
      <c r="H97" s="17">
        <f>'[1]PU des matériels'!$L$38</f>
        <v>12455</v>
      </c>
      <c r="I97" s="17">
        <v>300</v>
      </c>
      <c r="J97" s="17">
        <v>40000</v>
      </c>
    </row>
    <row r="98" spans="1:10" x14ac:dyDescent="0.25">
      <c r="A98" s="14" t="s">
        <v>144</v>
      </c>
      <c r="B98" s="14" t="s">
        <v>42</v>
      </c>
      <c r="C98" s="14" t="s">
        <v>8</v>
      </c>
      <c r="D98" s="14" t="s">
        <v>9</v>
      </c>
      <c r="E98" s="15"/>
      <c r="F98" s="14">
        <v>49</v>
      </c>
      <c r="G98" s="14">
        <f t="shared" si="3"/>
        <v>0</v>
      </c>
      <c r="H98" s="17">
        <f>'[1]PU des matériels'!$L$34</f>
        <v>9275</v>
      </c>
      <c r="I98" s="17">
        <v>300</v>
      </c>
      <c r="J98" s="17">
        <v>40000</v>
      </c>
    </row>
    <row r="99" spans="1:10" x14ac:dyDescent="0.25">
      <c r="A99" s="14" t="s">
        <v>145</v>
      </c>
      <c r="B99" s="14" t="s">
        <v>42</v>
      </c>
      <c r="C99" s="14"/>
      <c r="D99" s="14" t="s">
        <v>9</v>
      </c>
      <c r="E99" s="15"/>
      <c r="F99" s="14">
        <v>25</v>
      </c>
      <c r="G99" s="14">
        <f t="shared" si="3"/>
        <v>0</v>
      </c>
      <c r="H99" s="17"/>
      <c r="I99" s="17">
        <v>200</v>
      </c>
      <c r="J99" s="17">
        <v>7000</v>
      </c>
    </row>
    <row r="100" spans="1:10" x14ac:dyDescent="0.25">
      <c r="A100" s="14" t="s">
        <v>146</v>
      </c>
      <c r="B100" s="14" t="s">
        <v>42</v>
      </c>
      <c r="C100" s="14"/>
      <c r="D100" s="14" t="s">
        <v>9</v>
      </c>
      <c r="E100" s="15"/>
      <c r="F100" s="14">
        <v>24</v>
      </c>
      <c r="G100" s="14">
        <f t="shared" si="3"/>
        <v>0</v>
      </c>
      <c r="H100" s="17"/>
      <c r="I100" s="17">
        <v>200</v>
      </c>
      <c r="J100" s="17">
        <v>7000</v>
      </c>
    </row>
    <row r="101" spans="1:10" x14ac:dyDescent="0.25">
      <c r="A101" s="14" t="s">
        <v>147</v>
      </c>
      <c r="B101" s="14" t="s">
        <v>42</v>
      </c>
      <c r="C101" s="14" t="s">
        <v>8</v>
      </c>
      <c r="D101" s="14" t="s">
        <v>11</v>
      </c>
      <c r="E101" s="15"/>
      <c r="F101" s="14">
        <v>2</v>
      </c>
      <c r="G101" s="14">
        <f t="shared" si="3"/>
        <v>0</v>
      </c>
      <c r="H101" s="17">
        <f>'[1]PU des matériels'!$L$113</f>
        <v>36040</v>
      </c>
      <c r="I101" s="17">
        <v>5000</v>
      </c>
      <c r="J101" s="17">
        <v>110000</v>
      </c>
    </row>
    <row r="102" spans="1:10" x14ac:dyDescent="0.25">
      <c r="A102" s="14" t="s">
        <v>148</v>
      </c>
      <c r="B102" s="14" t="s">
        <v>42</v>
      </c>
      <c r="C102" s="14" t="s">
        <v>8</v>
      </c>
      <c r="D102" s="14" t="s">
        <v>11</v>
      </c>
      <c r="E102" s="15"/>
      <c r="F102" s="14">
        <v>2</v>
      </c>
      <c r="G102" s="14">
        <f t="shared" si="3"/>
        <v>0</v>
      </c>
      <c r="H102" s="17">
        <f>+'[1]PU des matériels'!$L$112</f>
        <v>28090</v>
      </c>
      <c r="I102" s="17">
        <v>5000</v>
      </c>
      <c r="J102" s="17">
        <v>110000</v>
      </c>
    </row>
    <row r="103" spans="1:10" x14ac:dyDescent="0.25">
      <c r="A103" s="14" t="s">
        <v>149</v>
      </c>
      <c r="B103" s="14" t="s">
        <v>42</v>
      </c>
      <c r="C103" s="14" t="s">
        <v>8</v>
      </c>
      <c r="D103" s="14" t="s">
        <v>9</v>
      </c>
      <c r="E103" s="15"/>
      <c r="F103" s="14">
        <v>499</v>
      </c>
      <c r="G103" s="14">
        <f t="shared" si="3"/>
        <v>0</v>
      </c>
      <c r="H103" s="17">
        <f>'[1]PU des matériels'!$L$30</f>
        <v>2650</v>
      </c>
      <c r="I103" s="17">
        <v>150</v>
      </c>
      <c r="J103" s="17">
        <v>8000</v>
      </c>
    </row>
    <row r="104" spans="1:10" x14ac:dyDescent="0.25">
      <c r="A104" s="14" t="s">
        <v>150</v>
      </c>
      <c r="B104" s="14" t="s">
        <v>42</v>
      </c>
      <c r="C104" s="14" t="s">
        <v>8</v>
      </c>
      <c r="D104" s="14" t="s">
        <v>9</v>
      </c>
      <c r="E104" s="15"/>
      <c r="F104" s="14">
        <v>496</v>
      </c>
      <c r="G104" s="14">
        <f t="shared" ref="G104:G145" si="4">SUM(L104:ML104)</f>
        <v>0</v>
      </c>
      <c r="H104" s="17">
        <f>'[1]PU des matériels'!$L$42</f>
        <v>2756</v>
      </c>
      <c r="I104" s="17">
        <v>150</v>
      </c>
      <c r="J104" s="17">
        <v>8000</v>
      </c>
    </row>
    <row r="105" spans="1:10" x14ac:dyDescent="0.25">
      <c r="A105" s="14" t="s">
        <v>151</v>
      </c>
      <c r="B105" s="14" t="s">
        <v>78</v>
      </c>
      <c r="C105" s="14"/>
      <c r="D105" s="14" t="s">
        <v>20</v>
      </c>
      <c r="E105" s="15"/>
      <c r="F105" s="14">
        <v>8</v>
      </c>
      <c r="G105" s="14">
        <f t="shared" si="4"/>
        <v>0</v>
      </c>
      <c r="H105" s="17"/>
      <c r="I105" s="17"/>
      <c r="J105" s="17"/>
    </row>
    <row r="106" spans="1:10" x14ac:dyDescent="0.25">
      <c r="A106" s="14" t="s">
        <v>152</v>
      </c>
      <c r="B106" s="14" t="s">
        <v>78</v>
      </c>
      <c r="C106" s="14"/>
      <c r="D106" s="14" t="s">
        <v>20</v>
      </c>
      <c r="E106" s="15"/>
      <c r="F106" s="14">
        <v>14</v>
      </c>
      <c r="G106" s="14">
        <f t="shared" si="4"/>
        <v>0</v>
      </c>
      <c r="H106" s="17"/>
      <c r="I106" s="17"/>
      <c r="J106" s="17"/>
    </row>
    <row r="107" spans="1:10" x14ac:dyDescent="0.25">
      <c r="A107" s="14" t="s">
        <v>153</v>
      </c>
      <c r="B107" s="14" t="s">
        <v>78</v>
      </c>
      <c r="C107" s="14"/>
      <c r="D107" s="14" t="s">
        <v>20</v>
      </c>
      <c r="E107" s="15"/>
      <c r="F107" s="14">
        <v>8</v>
      </c>
      <c r="G107" s="14">
        <f t="shared" si="4"/>
        <v>0</v>
      </c>
      <c r="H107" s="17"/>
      <c r="I107" s="17"/>
      <c r="J107" s="17"/>
    </row>
    <row r="108" spans="1:10" x14ac:dyDescent="0.25">
      <c r="A108" s="14" t="s">
        <v>154</v>
      </c>
      <c r="B108" s="14" t="s">
        <v>52</v>
      </c>
      <c r="C108" s="14"/>
      <c r="D108" s="14"/>
      <c r="E108" s="15"/>
      <c r="F108" s="14">
        <v>1</v>
      </c>
      <c r="G108" s="14">
        <f t="shared" si="4"/>
        <v>0</v>
      </c>
      <c r="H108" s="17"/>
      <c r="I108" s="17"/>
      <c r="J108" s="17"/>
    </row>
    <row r="109" spans="1:10" x14ac:dyDescent="0.25">
      <c r="A109" s="26" t="s">
        <v>155</v>
      </c>
      <c r="B109" s="26" t="s">
        <v>156</v>
      </c>
      <c r="C109" s="26" t="s">
        <v>8</v>
      </c>
      <c r="D109" s="26" t="s">
        <v>37</v>
      </c>
      <c r="E109" s="27"/>
      <c r="F109" s="26">
        <v>10</v>
      </c>
      <c r="G109" s="26">
        <f t="shared" si="4"/>
        <v>0</v>
      </c>
      <c r="H109" s="28">
        <f>'[1]PU des matériels'!$L$130</f>
        <v>84800</v>
      </c>
      <c r="I109" s="28">
        <v>3000</v>
      </c>
      <c r="J109" s="28">
        <v>250000</v>
      </c>
    </row>
    <row r="110" spans="1:10" x14ac:dyDescent="0.25">
      <c r="A110" s="26" t="s">
        <v>157</v>
      </c>
      <c r="B110" s="26" t="s">
        <v>64</v>
      </c>
      <c r="C110" s="26"/>
      <c r="D110" s="26" t="s">
        <v>37</v>
      </c>
      <c r="E110" s="27"/>
      <c r="F110" s="26">
        <v>1</v>
      </c>
      <c r="G110" s="26">
        <f t="shared" si="4"/>
        <v>0</v>
      </c>
      <c r="H110" s="28"/>
      <c r="I110" s="28"/>
      <c r="J110" s="28"/>
    </row>
    <row r="111" spans="1:10" x14ac:dyDescent="0.25">
      <c r="A111" s="14" t="s">
        <v>158</v>
      </c>
      <c r="B111" s="14" t="s">
        <v>42</v>
      </c>
      <c r="C111" s="14" t="s">
        <v>8</v>
      </c>
      <c r="D111" s="14" t="s">
        <v>37</v>
      </c>
      <c r="E111" s="15"/>
      <c r="F111" s="14">
        <v>8</v>
      </c>
      <c r="G111" s="14">
        <f t="shared" si="4"/>
        <v>0</v>
      </c>
      <c r="H111" s="17">
        <f>+'[1]PU des matériels'!$L$132</f>
        <v>185500</v>
      </c>
      <c r="I111" s="17">
        <v>5000</v>
      </c>
      <c r="J111" s="17">
        <v>500000</v>
      </c>
    </row>
    <row r="112" spans="1:10" x14ac:dyDescent="0.25">
      <c r="A112" s="14" t="s">
        <v>159</v>
      </c>
      <c r="B112" s="14" t="s">
        <v>42</v>
      </c>
      <c r="C112" s="14" t="s">
        <v>8</v>
      </c>
      <c r="D112" s="14" t="s">
        <v>37</v>
      </c>
      <c r="E112" s="15"/>
      <c r="F112" s="14">
        <v>46</v>
      </c>
      <c r="G112" s="14">
        <f t="shared" si="4"/>
        <v>0</v>
      </c>
      <c r="H112" s="17">
        <f>+'[1]PU des matériels'!$L$131</f>
        <v>249100</v>
      </c>
      <c r="I112" s="17">
        <v>5000</v>
      </c>
      <c r="J112" s="17">
        <v>500000</v>
      </c>
    </row>
    <row r="113" spans="1:10" x14ac:dyDescent="0.25">
      <c r="A113" s="14" t="s">
        <v>160</v>
      </c>
      <c r="B113" s="14" t="s">
        <v>42</v>
      </c>
      <c r="C113" s="14" t="s">
        <v>8</v>
      </c>
      <c r="D113" s="14" t="s">
        <v>9</v>
      </c>
      <c r="E113" s="15"/>
      <c r="F113" s="14">
        <v>486</v>
      </c>
      <c r="G113" s="14">
        <f t="shared" si="4"/>
        <v>0</v>
      </c>
      <c r="H113" s="17">
        <f>'[1]PU des matériels'!$L$29</f>
        <v>1855</v>
      </c>
      <c r="I113" s="17">
        <v>150</v>
      </c>
      <c r="J113" s="17">
        <v>15000</v>
      </c>
    </row>
    <row r="114" spans="1:10" x14ac:dyDescent="0.25">
      <c r="A114" s="14" t="s">
        <v>161</v>
      </c>
      <c r="B114" s="14" t="s">
        <v>42</v>
      </c>
      <c r="C114" s="14" t="s">
        <v>8</v>
      </c>
      <c r="D114" s="14" t="s">
        <v>9</v>
      </c>
      <c r="E114" s="15"/>
      <c r="F114" s="14">
        <v>473</v>
      </c>
      <c r="G114" s="14">
        <f t="shared" si="4"/>
        <v>0</v>
      </c>
      <c r="H114" s="17">
        <f>'[1]PU des matériels'!$L$41</f>
        <v>4028</v>
      </c>
      <c r="I114" s="17">
        <v>150</v>
      </c>
      <c r="J114" s="17">
        <v>15000</v>
      </c>
    </row>
    <row r="115" spans="1:10" x14ac:dyDescent="0.25">
      <c r="A115" s="14" t="s">
        <v>162</v>
      </c>
      <c r="B115" s="14" t="s">
        <v>42</v>
      </c>
      <c r="C115" s="14" t="s">
        <v>8</v>
      </c>
      <c r="D115" s="14" t="s">
        <v>15</v>
      </c>
      <c r="E115" s="15"/>
      <c r="F115" s="16">
        <v>402</v>
      </c>
      <c r="G115" s="14">
        <f t="shared" si="4"/>
        <v>0</v>
      </c>
      <c r="H115" s="17">
        <f>'[1]PU des matériels'!$L$6</f>
        <v>8480</v>
      </c>
      <c r="I115" s="17"/>
      <c r="J115" s="17">
        <v>30000</v>
      </c>
    </row>
    <row r="116" spans="1:10" x14ac:dyDescent="0.25">
      <c r="A116" s="14" t="s">
        <v>163</v>
      </c>
      <c r="B116" s="14" t="s">
        <v>42</v>
      </c>
      <c r="C116" s="14" t="s">
        <v>8</v>
      </c>
      <c r="D116" s="14" t="s">
        <v>15</v>
      </c>
      <c r="E116" s="15"/>
      <c r="F116" s="16">
        <v>313</v>
      </c>
      <c r="G116" s="14">
        <f t="shared" si="4"/>
        <v>0</v>
      </c>
      <c r="H116" s="17">
        <f>'[1]PU des matériels'!$L$9</f>
        <v>6360</v>
      </c>
      <c r="I116" s="17"/>
      <c r="J116" s="17">
        <v>30000</v>
      </c>
    </row>
    <row r="117" spans="1:10" x14ac:dyDescent="0.25">
      <c r="A117" s="14" t="s">
        <v>164</v>
      </c>
      <c r="B117" s="14" t="s">
        <v>42</v>
      </c>
      <c r="C117" s="14" t="s">
        <v>8</v>
      </c>
      <c r="D117" s="14" t="s">
        <v>15</v>
      </c>
      <c r="E117" s="15"/>
      <c r="F117" s="16">
        <v>185</v>
      </c>
      <c r="G117" s="14">
        <f t="shared" si="4"/>
        <v>0</v>
      </c>
      <c r="H117" s="17">
        <f>'[1]PU des matériels'!$L$7</f>
        <v>7420</v>
      </c>
      <c r="I117" s="17"/>
      <c r="J117" s="17">
        <v>30000</v>
      </c>
    </row>
    <row r="118" spans="1:10" x14ac:dyDescent="0.25">
      <c r="A118" s="16" t="s">
        <v>165</v>
      </c>
      <c r="B118" s="16" t="s">
        <v>42</v>
      </c>
      <c r="C118" s="16" t="s">
        <v>8</v>
      </c>
      <c r="D118" s="16" t="s">
        <v>15</v>
      </c>
      <c r="E118" s="18"/>
      <c r="F118" s="16">
        <v>228</v>
      </c>
      <c r="G118" s="14">
        <f t="shared" si="4"/>
        <v>0</v>
      </c>
      <c r="H118" s="19">
        <f>'[1]PU des matériels'!$L$10</f>
        <v>14840</v>
      </c>
      <c r="I118" s="19">
        <v>200</v>
      </c>
      <c r="J118" s="19">
        <v>20000</v>
      </c>
    </row>
    <row r="119" spans="1:10" x14ac:dyDescent="0.25">
      <c r="A119" s="16" t="s">
        <v>166</v>
      </c>
      <c r="B119" s="16" t="s">
        <v>42</v>
      </c>
      <c r="C119" s="16" t="s">
        <v>8</v>
      </c>
      <c r="D119" s="16" t="s">
        <v>15</v>
      </c>
      <c r="E119" s="18"/>
      <c r="F119" s="16">
        <v>45</v>
      </c>
      <c r="G119" s="14">
        <f t="shared" si="4"/>
        <v>0</v>
      </c>
      <c r="H119" s="19"/>
      <c r="I119" s="19">
        <v>200</v>
      </c>
      <c r="J119" s="19">
        <v>50000</v>
      </c>
    </row>
    <row r="120" spans="1:10" x14ac:dyDescent="0.25">
      <c r="A120" s="16" t="s">
        <v>167</v>
      </c>
      <c r="B120" s="16" t="s">
        <v>42</v>
      </c>
      <c r="C120" s="16" t="s">
        <v>8</v>
      </c>
      <c r="D120" s="16" t="s">
        <v>15</v>
      </c>
      <c r="E120" s="18"/>
      <c r="F120" s="16">
        <v>52</v>
      </c>
      <c r="G120" s="14">
        <f t="shared" si="4"/>
        <v>0</v>
      </c>
      <c r="H120" s="19"/>
      <c r="I120" s="19">
        <v>200</v>
      </c>
      <c r="J120" s="19">
        <v>50000</v>
      </c>
    </row>
    <row r="121" spans="1:10" x14ac:dyDescent="0.25">
      <c r="A121" s="16" t="s">
        <v>168</v>
      </c>
      <c r="B121" s="16" t="s">
        <v>42</v>
      </c>
      <c r="C121" s="16" t="s">
        <v>8</v>
      </c>
      <c r="D121" s="16" t="s">
        <v>15</v>
      </c>
      <c r="E121" s="18"/>
      <c r="F121" s="16">
        <v>41</v>
      </c>
      <c r="G121" s="14">
        <f t="shared" si="4"/>
        <v>0</v>
      </c>
      <c r="H121" s="19"/>
      <c r="I121" s="19">
        <v>200</v>
      </c>
      <c r="J121" s="19">
        <v>50000</v>
      </c>
    </row>
    <row r="122" spans="1:10" x14ac:dyDescent="0.25">
      <c r="A122" s="16" t="s">
        <v>169</v>
      </c>
      <c r="B122" s="16" t="s">
        <v>42</v>
      </c>
      <c r="C122" s="16" t="s">
        <v>8</v>
      </c>
      <c r="D122" s="16" t="s">
        <v>15</v>
      </c>
      <c r="E122" s="18"/>
      <c r="F122" s="16">
        <v>52</v>
      </c>
      <c r="G122" s="14">
        <f t="shared" si="4"/>
        <v>0</v>
      </c>
      <c r="H122" s="19"/>
      <c r="I122" s="19">
        <v>200</v>
      </c>
      <c r="J122" s="19">
        <v>50000</v>
      </c>
    </row>
    <row r="123" spans="1:10" x14ac:dyDescent="0.25">
      <c r="A123" s="14" t="s">
        <v>170</v>
      </c>
      <c r="B123" s="14" t="s">
        <v>42</v>
      </c>
      <c r="C123" s="14" t="s">
        <v>38</v>
      </c>
      <c r="D123" s="14" t="s">
        <v>15</v>
      </c>
      <c r="E123" s="15"/>
      <c r="F123" s="16">
        <v>53</v>
      </c>
      <c r="G123" s="14">
        <f t="shared" si="4"/>
        <v>0</v>
      </c>
      <c r="H123" s="17"/>
      <c r="I123" s="17">
        <v>80</v>
      </c>
      <c r="J123" s="17">
        <v>20000</v>
      </c>
    </row>
    <row r="124" spans="1:10" x14ac:dyDescent="0.25">
      <c r="A124" s="14" t="s">
        <v>171</v>
      </c>
      <c r="B124" s="14" t="s">
        <v>42</v>
      </c>
      <c r="C124" s="14" t="s">
        <v>8</v>
      </c>
      <c r="D124" s="14" t="s">
        <v>15</v>
      </c>
      <c r="E124" s="15"/>
      <c r="F124" s="16">
        <v>406</v>
      </c>
      <c r="G124" s="14">
        <f t="shared" si="4"/>
        <v>0</v>
      </c>
      <c r="H124" s="17">
        <f>'[1]PU des matériels'!$L$15</f>
        <v>2650</v>
      </c>
      <c r="I124" s="17">
        <v>80</v>
      </c>
      <c r="J124" s="17">
        <v>10000</v>
      </c>
    </row>
    <row r="125" spans="1:10" x14ac:dyDescent="0.25">
      <c r="A125" s="14" t="s">
        <v>172</v>
      </c>
      <c r="B125" s="14" t="s">
        <v>42</v>
      </c>
      <c r="C125" s="14"/>
      <c r="D125" s="14" t="s">
        <v>15</v>
      </c>
      <c r="E125" s="15"/>
      <c r="F125" s="14">
        <v>410</v>
      </c>
      <c r="G125" s="14">
        <f t="shared" si="4"/>
        <v>0</v>
      </c>
      <c r="H125" s="17"/>
      <c r="I125" s="17">
        <v>80</v>
      </c>
      <c r="J125" s="17">
        <v>10000</v>
      </c>
    </row>
    <row r="126" spans="1:10" x14ac:dyDescent="0.25">
      <c r="A126" s="22" t="s">
        <v>173</v>
      </c>
      <c r="B126" s="22" t="s">
        <v>42</v>
      </c>
      <c r="C126" s="22" t="s">
        <v>8</v>
      </c>
      <c r="D126" s="22" t="s">
        <v>11</v>
      </c>
      <c r="E126" s="23"/>
      <c r="F126" s="22">
        <v>10</v>
      </c>
      <c r="G126" s="14">
        <f t="shared" si="4"/>
        <v>0</v>
      </c>
      <c r="H126" s="24">
        <f>'[1]PU des matériels'!$L$116</f>
        <v>161120</v>
      </c>
      <c r="I126" s="24">
        <v>5000</v>
      </c>
      <c r="J126" s="24">
        <v>500000</v>
      </c>
    </row>
    <row r="127" spans="1:10" x14ac:dyDescent="0.25">
      <c r="A127" s="22" t="s">
        <v>174</v>
      </c>
      <c r="B127" s="22" t="s">
        <v>42</v>
      </c>
      <c r="C127" s="22" t="s">
        <v>8</v>
      </c>
      <c r="D127" s="22" t="s">
        <v>11</v>
      </c>
      <c r="E127" s="23"/>
      <c r="F127" s="22">
        <v>10</v>
      </c>
      <c r="G127" s="14">
        <f t="shared" si="4"/>
        <v>0</v>
      </c>
      <c r="H127" s="24">
        <f>+'[1]PU des matériels'!$L$115</f>
        <v>96460</v>
      </c>
      <c r="I127" s="24">
        <v>5000</v>
      </c>
      <c r="J127" s="24">
        <v>300000</v>
      </c>
    </row>
    <row r="128" spans="1:10" x14ac:dyDescent="0.25">
      <c r="A128" s="22" t="s">
        <v>175</v>
      </c>
      <c r="B128" s="22" t="s">
        <v>42</v>
      </c>
      <c r="C128" s="22" t="s">
        <v>8</v>
      </c>
      <c r="D128" s="22" t="s">
        <v>11</v>
      </c>
      <c r="E128" s="23"/>
      <c r="F128" s="22">
        <v>10</v>
      </c>
      <c r="G128" s="14">
        <f t="shared" si="4"/>
        <v>0</v>
      </c>
      <c r="H128" s="24">
        <f>+'[1]PU des matériels'!$L$114</f>
        <v>81090</v>
      </c>
      <c r="I128" s="24">
        <v>5000</v>
      </c>
      <c r="J128" s="24">
        <v>270000</v>
      </c>
    </row>
    <row r="129" spans="1:10" x14ac:dyDescent="0.25">
      <c r="A129" s="16" t="s">
        <v>176</v>
      </c>
      <c r="B129" s="16" t="s">
        <v>42</v>
      </c>
      <c r="C129" s="16" t="s">
        <v>8</v>
      </c>
      <c r="D129" s="16" t="s">
        <v>11</v>
      </c>
      <c r="E129" s="18"/>
      <c r="F129" s="16">
        <v>11</v>
      </c>
      <c r="G129" s="14">
        <f t="shared" si="4"/>
        <v>0</v>
      </c>
      <c r="H129" s="19">
        <f>'[1]PU des matériels'!$L$97</f>
        <v>72610</v>
      </c>
      <c r="I129" s="19">
        <v>6000</v>
      </c>
      <c r="J129" s="19">
        <v>250000</v>
      </c>
    </row>
    <row r="130" spans="1:10" x14ac:dyDescent="0.25">
      <c r="A130" s="16" t="s">
        <v>177</v>
      </c>
      <c r="B130" s="16" t="s">
        <v>42</v>
      </c>
      <c r="C130" s="16" t="s">
        <v>8</v>
      </c>
      <c r="D130" s="16" t="s">
        <v>11</v>
      </c>
      <c r="E130" s="18"/>
      <c r="F130" s="16">
        <v>11</v>
      </c>
      <c r="G130" s="14">
        <f t="shared" si="4"/>
        <v>0</v>
      </c>
      <c r="H130" s="19">
        <f>+'[1]PU des matériels'!$L$96</f>
        <v>47170</v>
      </c>
      <c r="I130" s="19">
        <v>5000</v>
      </c>
      <c r="J130" s="19">
        <v>200000</v>
      </c>
    </row>
    <row r="131" spans="1:10" x14ac:dyDescent="0.25">
      <c r="A131" s="16" t="s">
        <v>178</v>
      </c>
      <c r="B131" s="16" t="s">
        <v>42</v>
      </c>
      <c r="C131" s="16" t="s">
        <v>8</v>
      </c>
      <c r="D131" s="16" t="s">
        <v>11</v>
      </c>
      <c r="E131" s="18"/>
      <c r="F131" s="16">
        <v>11</v>
      </c>
      <c r="G131" s="14">
        <f t="shared" si="4"/>
        <v>0</v>
      </c>
      <c r="H131" s="19">
        <f>+'[1]PU des matériels'!$L$95</f>
        <v>40280</v>
      </c>
      <c r="I131" s="19">
        <v>4000</v>
      </c>
      <c r="J131" s="19">
        <v>200000</v>
      </c>
    </row>
    <row r="132" spans="1:10" x14ac:dyDescent="0.25">
      <c r="A132" s="16" t="s">
        <v>179</v>
      </c>
      <c r="B132" s="16" t="s">
        <v>42</v>
      </c>
      <c r="C132" s="16" t="s">
        <v>8</v>
      </c>
      <c r="D132" s="16" t="s">
        <v>11</v>
      </c>
      <c r="E132" s="18"/>
      <c r="F132" s="16">
        <v>10</v>
      </c>
      <c r="G132" s="14">
        <f t="shared" si="4"/>
        <v>0</v>
      </c>
      <c r="H132" s="19">
        <f>'[1]PU des matériels'!$L$110</f>
        <v>104940</v>
      </c>
      <c r="I132" s="19">
        <v>6000</v>
      </c>
      <c r="J132" s="19">
        <v>325000</v>
      </c>
    </row>
    <row r="133" spans="1:10" x14ac:dyDescent="0.25">
      <c r="A133" s="16" t="s">
        <v>180</v>
      </c>
      <c r="B133" s="16" t="s">
        <v>42</v>
      </c>
      <c r="C133" s="16" t="s">
        <v>8</v>
      </c>
      <c r="D133" s="16" t="s">
        <v>11</v>
      </c>
      <c r="E133" s="18"/>
      <c r="F133" s="16">
        <v>10</v>
      </c>
      <c r="G133" s="14">
        <f t="shared" si="4"/>
        <v>0</v>
      </c>
      <c r="H133" s="19">
        <f>+'[1]PU des matériels'!$L$109</f>
        <v>62540</v>
      </c>
      <c r="I133" s="19">
        <v>5000</v>
      </c>
      <c r="J133" s="19">
        <v>200000</v>
      </c>
    </row>
    <row r="134" spans="1:10" x14ac:dyDescent="0.25">
      <c r="A134" s="16" t="s">
        <v>181</v>
      </c>
      <c r="B134" s="16" t="s">
        <v>42</v>
      </c>
      <c r="C134" s="16" t="s">
        <v>8</v>
      </c>
      <c r="D134" s="16" t="s">
        <v>11</v>
      </c>
      <c r="E134" s="18"/>
      <c r="F134" s="16">
        <v>10</v>
      </c>
      <c r="G134" s="14">
        <f t="shared" si="4"/>
        <v>0</v>
      </c>
      <c r="H134" s="19">
        <f>+'[1]PU des matériels'!$L$108</f>
        <v>47170</v>
      </c>
      <c r="I134" s="19">
        <v>4000</v>
      </c>
      <c r="J134" s="19">
        <v>200000</v>
      </c>
    </row>
    <row r="135" spans="1:10" x14ac:dyDescent="0.25">
      <c r="A135" s="22" t="s">
        <v>182</v>
      </c>
      <c r="B135" s="22" t="s">
        <v>42</v>
      </c>
      <c r="C135" s="22" t="s">
        <v>8</v>
      </c>
      <c r="D135" s="22" t="s">
        <v>11</v>
      </c>
      <c r="E135" s="23"/>
      <c r="F135" s="22">
        <v>6</v>
      </c>
      <c r="G135" s="14">
        <f t="shared" si="4"/>
        <v>0</v>
      </c>
      <c r="H135" s="24">
        <f>+'[1]PU des matériels'!$L$98</f>
        <v>201400</v>
      </c>
      <c r="I135" s="24">
        <v>12000</v>
      </c>
      <c r="J135" s="24">
        <v>610000</v>
      </c>
    </row>
    <row r="136" spans="1:10" x14ac:dyDescent="0.25">
      <c r="A136" s="16" t="s">
        <v>183</v>
      </c>
      <c r="B136" s="16" t="s">
        <v>42</v>
      </c>
      <c r="C136" s="16" t="s">
        <v>8</v>
      </c>
      <c r="D136" s="16" t="s">
        <v>11</v>
      </c>
      <c r="E136" s="18"/>
      <c r="F136" s="16">
        <v>11</v>
      </c>
      <c r="G136" s="14">
        <f t="shared" si="4"/>
        <v>0</v>
      </c>
      <c r="H136" s="19">
        <f>'[1]PU des matériels'!$L$91</f>
        <v>62540</v>
      </c>
      <c r="I136" s="19">
        <v>6000</v>
      </c>
      <c r="J136" s="19">
        <v>200000</v>
      </c>
    </row>
    <row r="137" spans="1:10" x14ac:dyDescent="0.25">
      <c r="A137" s="16" t="s">
        <v>184</v>
      </c>
      <c r="B137" s="16" t="s">
        <v>42</v>
      </c>
      <c r="C137" s="16" t="s">
        <v>8</v>
      </c>
      <c r="D137" s="16" t="s">
        <v>11</v>
      </c>
      <c r="E137" s="18"/>
      <c r="F137" s="16">
        <v>10</v>
      </c>
      <c r="G137" s="14">
        <f t="shared" si="4"/>
        <v>0</v>
      </c>
      <c r="H137" s="19">
        <f>+'[1]PU des matériels'!$L$90</f>
        <v>47170</v>
      </c>
      <c r="I137" s="19">
        <v>5000</v>
      </c>
      <c r="J137" s="19">
        <v>200000</v>
      </c>
    </row>
    <row r="138" spans="1:10" x14ac:dyDescent="0.25">
      <c r="A138" s="16" t="s">
        <v>185</v>
      </c>
      <c r="B138" s="16" t="s">
        <v>42</v>
      </c>
      <c r="C138" s="16" t="s">
        <v>8</v>
      </c>
      <c r="D138" s="16" t="s">
        <v>11</v>
      </c>
      <c r="E138" s="18"/>
      <c r="F138" s="16">
        <v>9</v>
      </c>
      <c r="G138" s="14">
        <f t="shared" si="4"/>
        <v>0</v>
      </c>
      <c r="H138" s="19">
        <f>+'[1]PU des matériels'!$L$89</f>
        <v>40280</v>
      </c>
      <c r="I138" s="19">
        <v>4000</v>
      </c>
      <c r="J138" s="19">
        <v>200000</v>
      </c>
    </row>
    <row r="139" spans="1:10" x14ac:dyDescent="0.25">
      <c r="A139" s="16" t="s">
        <v>186</v>
      </c>
      <c r="B139" s="16" t="s">
        <v>42</v>
      </c>
      <c r="C139" s="16" t="s">
        <v>8</v>
      </c>
      <c r="D139" s="16" t="s">
        <v>11</v>
      </c>
      <c r="E139" s="18"/>
      <c r="F139" s="16">
        <v>10</v>
      </c>
      <c r="G139" s="14">
        <f t="shared" si="4"/>
        <v>0</v>
      </c>
      <c r="H139" s="19">
        <f>'[1]PU des matériels'!$L$94</f>
        <v>379480</v>
      </c>
      <c r="I139" s="19">
        <v>6000</v>
      </c>
      <c r="J139" s="19">
        <v>500000</v>
      </c>
    </row>
    <row r="140" spans="1:10" x14ac:dyDescent="0.25">
      <c r="A140" s="16" t="s">
        <v>187</v>
      </c>
      <c r="B140" s="16" t="s">
        <v>42</v>
      </c>
      <c r="C140" s="16" t="s">
        <v>8</v>
      </c>
      <c r="D140" s="16" t="s">
        <v>11</v>
      </c>
      <c r="E140" s="18"/>
      <c r="F140" s="16">
        <v>10</v>
      </c>
      <c r="G140" s="14">
        <f t="shared" si="4"/>
        <v>0</v>
      </c>
      <c r="H140" s="19">
        <f>+'[1]PU des matériels'!$L$93</f>
        <v>279840</v>
      </c>
      <c r="I140" s="19">
        <v>5000</v>
      </c>
      <c r="J140" s="19">
        <v>500000</v>
      </c>
    </row>
    <row r="141" spans="1:10" x14ac:dyDescent="0.25">
      <c r="A141" s="16" t="s">
        <v>188</v>
      </c>
      <c r="B141" s="16" t="s">
        <v>42</v>
      </c>
      <c r="C141" s="16" t="s">
        <v>8</v>
      </c>
      <c r="D141" s="16" t="s">
        <v>11</v>
      </c>
      <c r="E141" s="18"/>
      <c r="F141" s="16">
        <v>10</v>
      </c>
      <c r="G141" s="14">
        <f t="shared" si="4"/>
        <v>0</v>
      </c>
      <c r="H141" s="19">
        <f>+'[1]PU des matériels'!$L$92</f>
        <v>177550</v>
      </c>
      <c r="I141" s="19">
        <v>4000</v>
      </c>
      <c r="J141" s="19">
        <v>500000</v>
      </c>
    </row>
    <row r="142" spans="1:10" x14ac:dyDescent="0.25">
      <c r="A142" s="16" t="s">
        <v>189</v>
      </c>
      <c r="B142" s="16" t="s">
        <v>42</v>
      </c>
      <c r="C142" s="16" t="s">
        <v>8</v>
      </c>
      <c r="D142" s="16" t="s">
        <v>11</v>
      </c>
      <c r="E142" s="18"/>
      <c r="F142" s="16">
        <v>30</v>
      </c>
      <c r="G142" s="14">
        <f t="shared" si="4"/>
        <v>0</v>
      </c>
      <c r="H142" s="19">
        <f>+'[1]PU des matériels'!$L$117</f>
        <v>42400</v>
      </c>
      <c r="I142" s="19">
        <v>6000</v>
      </c>
      <c r="J142" s="19">
        <v>200000</v>
      </c>
    </row>
    <row r="143" spans="1:10" x14ac:dyDescent="0.25">
      <c r="A143" s="16" t="s">
        <v>190</v>
      </c>
      <c r="B143" s="16" t="s">
        <v>42</v>
      </c>
      <c r="C143" s="16" t="s">
        <v>8</v>
      </c>
      <c r="D143" s="16" t="s">
        <v>11</v>
      </c>
      <c r="E143" s="18"/>
      <c r="F143" s="16">
        <v>10</v>
      </c>
      <c r="G143" s="14">
        <f t="shared" si="4"/>
        <v>0</v>
      </c>
      <c r="H143" s="19">
        <f>'[1]PU des matériels'!$L$81</f>
        <v>62010</v>
      </c>
      <c r="I143" s="19">
        <v>6000</v>
      </c>
      <c r="J143" s="19">
        <v>200000</v>
      </c>
    </row>
    <row r="144" spans="1:10" x14ac:dyDescent="0.25">
      <c r="A144" s="16" t="s">
        <v>191</v>
      </c>
      <c r="B144" s="16" t="s">
        <v>42</v>
      </c>
      <c r="C144" s="16" t="s">
        <v>8</v>
      </c>
      <c r="D144" s="16" t="s">
        <v>11</v>
      </c>
      <c r="E144" s="18"/>
      <c r="F144" s="16">
        <v>9</v>
      </c>
      <c r="G144" s="14">
        <f t="shared" si="4"/>
        <v>0</v>
      </c>
      <c r="H144" s="19">
        <f>+'[1]PU des matériels'!$L$80</f>
        <v>30210</v>
      </c>
      <c r="I144" s="19">
        <v>5000</v>
      </c>
      <c r="J144" s="19">
        <v>200000</v>
      </c>
    </row>
    <row r="145" spans="1:10" x14ac:dyDescent="0.25">
      <c r="A145" s="16" t="s">
        <v>192</v>
      </c>
      <c r="B145" s="16" t="s">
        <v>42</v>
      </c>
      <c r="C145" s="16" t="s">
        <v>8</v>
      </c>
      <c r="D145" s="16" t="s">
        <v>11</v>
      </c>
      <c r="E145" s="18"/>
      <c r="F145" s="16">
        <v>10</v>
      </c>
      <c r="G145" s="14">
        <f t="shared" si="4"/>
        <v>0</v>
      </c>
      <c r="H145" s="19">
        <f>+'[1]PU des matériels'!$L$82</f>
        <v>29150</v>
      </c>
      <c r="I145" s="19">
        <v>4000</v>
      </c>
      <c r="J145" s="19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raillersing</dc:creator>
  <cp:lastModifiedBy>raillersing</cp:lastModifiedBy>
  <dcterms:created xsi:type="dcterms:W3CDTF">2026-08-04T07:19:49Z</dcterms:created>
  <dcterms:modified xsi:type="dcterms:W3CDTF">2026-08-04T07:22:20Z</dcterms:modified>
</cp:coreProperties>
</file>